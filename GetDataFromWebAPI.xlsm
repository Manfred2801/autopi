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60" windowWidth="14115" windowHeight="11580"/>
  </bookViews>
  <sheets>
    <sheet name="LoginData" sheetId="1" r:id="rId1"/>
    <sheet name="LoggedTags" sheetId="4" r:id="rId2"/>
    <sheet name="Data1" sheetId="3" r:id="rId3"/>
    <sheet name="Data2" sheetId="8" r:id="rId4"/>
  </sheets>
  <functionGroups builtInGroupCount="17"/>
  <calcPr calcId="145621"/>
</workbook>
</file>

<file path=xl/calcChain.xml><?xml version="1.0" encoding="utf-8"?>
<calcChain xmlns="http://schemas.openxmlformats.org/spreadsheetml/2006/main">
  <c r="B5" i="8" l="1"/>
  <c r="B6" i="8" l="1"/>
  <c r="B6" i="3" l="1"/>
</calcChain>
</file>

<file path=xl/sharedStrings.xml><?xml version="1.0" encoding="utf-8"?>
<sst xmlns="http://schemas.openxmlformats.org/spreadsheetml/2006/main" count="80" uniqueCount="62">
  <si>
    <t>email</t>
  </si>
  <si>
    <t>password</t>
  </si>
  <si>
    <t>device-id</t>
  </si>
  <si>
    <t>bearer-token</t>
  </si>
  <si>
    <t>Logging Intervall [s]</t>
  </si>
  <si>
    <t>Get data from</t>
  </si>
  <si>
    <t>Get data to</t>
  </si>
  <si>
    <t>debug</t>
  </si>
  <si>
    <t>obd.bat_soc.value</t>
  </si>
  <si>
    <t>available Tagnames</t>
  </si>
  <si>
    <t>@t</t>
  </si>
  <si>
    <t>@tag</t>
  </si>
  <si>
    <t>@ts</t>
  </si>
  <si>
    <t>@uid</t>
  </si>
  <si>
    <t>@vid</t>
  </si>
  <si>
    <t>acc.xyz.x</t>
  </si>
  <si>
    <t>acc.xyz.y</t>
  </si>
  <si>
    <t>acc.xyz.z</t>
  </si>
  <si>
    <t>obd.aux_bat_soc.value</t>
  </si>
  <si>
    <t>obd.aux_batt_volts.value</t>
  </si>
  <si>
    <t>obd.bat.level</t>
  </si>
  <si>
    <t>obd.bat.state</t>
  </si>
  <si>
    <t>obd.bat.voltage</t>
  </si>
  <si>
    <t>obd.batt_power.value</t>
  </si>
  <si>
    <t>obd.batt_temp1.value</t>
  </si>
  <si>
    <t>obd.batt_temp2.value</t>
  </si>
  <si>
    <t>obd.batt_temp3.value</t>
  </si>
  <si>
    <t>obd.batt_temp4.value</t>
  </si>
  <si>
    <t>obd.cec.value</t>
  </si>
  <si>
    <t>obd.ced.value</t>
  </si>
  <si>
    <t>obd.indoor_temperature.value</t>
  </si>
  <si>
    <t>obd.odometer.value</t>
  </si>
  <si>
    <t>obd.outdoor_temperature.value</t>
  </si>
  <si>
    <t>rpi.temp.cpu.unit</t>
  </si>
  <si>
    <t>rpi.temp.cpu.value</t>
  </si>
  <si>
    <t>rpi.temp.gpu.unit</t>
  </si>
  <si>
    <t>rpi.temp.gpu.value</t>
  </si>
  <si>
    <t>track.pos.alt</t>
  </si>
  <si>
    <t>track.pos.cog</t>
  </si>
  <si>
    <t>track.pos.loc</t>
  </si>
  <si>
    <t>track.pos.nsat</t>
  </si>
  <si>
    <t>track.pos.sog</t>
  </si>
  <si>
    <t>track.pos.utc</t>
  </si>
  <si>
    <t>Intervall (sec)</t>
  </si>
  <si>
    <t>=temporary cell</t>
  </si>
  <si>
    <t>=lineNo</t>
  </si>
  <si>
    <t>interesting Tagnames</t>
  </si>
  <si>
    <t>row count</t>
  </si>
  <si>
    <t>[{"max_ts":1581026575839.0,"ts":"2020-02-06T22:00:00.000Z","value":-2.4134518078395297},{"max_ts":1581026746240.0,"ts":"2020-02-06T22:03:00.000Z","value":-2.4107183774312335},{"max_ts":1581026927869.0,"ts":"2020-02-06T22:06:00.000Z","value":-2.407394781112671},{"max_ts":1581027119689.0,"ts":"2020-02-06T22:09:00.000Z","value":-2.3947594392867315},{"max_ts":1581027295395.0,"ts":"2020-02-06T22:12:00.000Z","value":-2.399321365356445},{"max_ts":1581027471544.0,"ts":"2020-02-06T22:15:00.000Z","value":-2.4177707767486574},{"max_ts":1581027657772.0,"ts":"2020-02-06T22:18:00.000Z","value":-2.404552479585012},{"max_ts":1581027839398.0,"ts":"2020-02-06T22:21:00.000Z","value":-2.398272963131175},{"max_ts":1581028011057.0,"ts":"2020-02-06T22:24:00.000Z","value":-2.4108280022939046},{"max_ts":1581028198092.0,"ts":"2020-02-06T22:27:00.000Z","value":-2.4105168392783716},{"max_ts":1581028374158.0,"ts":"2020-02-06T22:30:00.000Z","value":-2.409344098784707},{"max_ts":1581028544903.0,"ts":"2020-02-06T22:33:00.000Z","value":-2.4200482648961685},{"max_ts":1581028736655.0,"ts":"2020-02-06T22:36:00.000Z","value":-2.410214310107024},{"max_ts":1581028918092.0,"ts":"2020-02-06T22:39:00.000Z","value":-2.4056335898006664},{"max_ts":1581029099897.0,"ts":"2020-02-06T22:42:00.000Z","value":-2.418649959564209},{"max_ts":1581029276354.0,"ts":"2020-02-06T22:45:00.000Z","value":-2.3942400217056274},{"max_ts":1581029452662.0,"ts":"2020-02-06T22:48:00.000Z","value":-2.3966421077125952},{"max_ts":1581029633856.0,"ts":"2020-02-06T22:51:00.000Z","value":-2.4055692507670474},{"max_ts":1581029815748.0,"ts":"2020-02-06T22:54:00.000Z","value":-2.396232008934021},{"max_ts":1581029997393.0,"ts":"2020-02-06T22:57:00.000Z","value":-2.3843499792033227},{"max_ts":1581030179109.0,"ts":"2020-02-06T23:00:00.000Z","value":-2.3872489809989927},{"max_ts":1581030355401.0,"ts":"2020-02-06T23:03:00.000Z","value":-2.3774148349104256},{"max_ts":1581030536916.0,"ts":"2020-02-06T23:06:00.000Z","value":-2.3895496221689076},{"max_ts":1581030712798.0,"ts":"2020-02-06T23:09:00.000Z","value":-2.3899291654427848},{"max_ts":1581030883485.0,"ts":"2020-02-06T23:12:00.000Z","value":-2.3900213783437554},{"max_ts":1581031059738.0,"ts":"2020-02-06T23:15:00.000Z","value":-2.389233572142465},{"max_ts":1581031256557.0,"ts":"2020-02-06T23:18:00.000Z","value":-2.3910146713256837},{"max_ts":1581031400435.0,"ts":"2020-02-06T23:21:00.000Z","value":-2.3930379215039705},{"max_ts":1581031618501.0,"ts":"2020-02-06T23:24:00.000Z","value":-2.386068344116211},{"max_ts":1581031784320.0,"ts":"2020-02-06T23:27:00.000Z","value":-2.389073744416237},{"max_ts":1581031960499.0,"ts":"2020-02-06T23:30:00.000Z","value":-2.3930858915502373},{"max_ts":1581032157569.0,"ts":"2020-02-06T23:33:00.000Z","value":-2.383974225897538},{"max_ts":1581032333621.0,"ts":"2020-02-06T23:36:00.000Z","value":-2.381376304124531},{"max_ts":1581032514636.0,"ts":"2020-02-06T23:39:00.000Z","value":-2.3751957586833408},{"max_ts":1581032696062.0,"ts":"2020-02-06T23:42:00.000Z","value":-2.3894739047340723},{"max_ts":1581032877387.0,"ts":"2020-02-06T23:45:00.000Z","value":-2.3867818117141724},{"max_ts":1581033053300.0,"ts":"2020-02-06T23:48:00.000Z","value":-2.4062984491649426},{"max_ts":1581033239960.0,"ts":"2020-02-06T23:51:00.000Z","value":-2.4006783866882326},{"max_ts":1581033405540.0,"ts":"2020-02-06T23:54:00.000Z","value":-2.397302746772766},{"max_ts":1581033597190.0,"ts":"2020-02-06T23:57:00.000Z","value":-2.405231863260269},{"max_ts":1581033779323.0,"ts":"2020-02-07T00:00:00.000Z","value":-2.404832280599154},{"max_ts":1581033955651.0,"ts":"2020-02-07T00:03:00.000Z","value":-2.403617928425471},{"max_ts":1581034131283.0,"ts":"2020-02-07T00:06:00.000Z","value":-2.397936116094175},{"max_ts":1581034312956.0,"ts":"2020-02-07T00:09:00.000Z","value":-2.400428877936469},{"max_ts":1581034499576.0,"ts":"2020-02-07T00:12:00.000Z","value":-2.40777497821384},{"max_ts":1581034675635.0,"ts":"2020-02-07T00:15:00.000Z","value":-2.41335634181374},{"max_ts":1581034851931.0,"ts":"2020-02-07T00:18:00.000Z","value":-2.4265883101357355},{"max_ts":1581035023048.0,"ts":"2020-02-07T00:21:00.000Z","value":-2.3975336211068288},{"max_ts":1581035209148.0,"ts":"2020-02-07T00:24:00.000Z","value":-2.4085066318511963},{"max_ts":1581035379758.0,"ts":"2020-02-07T00:27:00.000Z","value":-2.4238484639387865},{"max_ts":1581035565873.0,"ts":"2020-02-07T00:30:00.000Z","value":-2.4091689586639404},{"max_ts":1581035752169.0,"ts":"2020-02-07T00:33:00.000Z","value":-2.423793137073517},{"max_ts":1581035938590.0,"ts":"2020-02-07T00:36:00.000Z","value":-2.4075600259444294},{"max_ts":1581036114532.0,"ts":"2020-02-07T00:39:00.000Z","value":-2.416315221786499},{"max_ts":1581036296098.0,"ts":"2020-02-07T00:42:00.000Z","value":-2.4209404316815464},{"max_ts":1581036477498.0,"ts":"2020-02-07T00:45:00.000Z","value":-2.4211955308914184},{"max_ts":1581036659014.0,"ts":"2020-02-07T00:48:00.000Z","value":-2.4316490037100658},{"max_ts":1581036829984.0,"ts":"2020-02-07T00:51:00.000Z","value":-2.428915524482727},{"max_ts":1581037016996.0,"ts":"2020-02-07T00:54:00.000Z","value":-2.4264689922332763},{"max_ts":1581037192894.0,"ts":"2020-02-07T00:57:00.000Z","value":-2.41781085729599},{"max_ts":1581037379650.0,"ts":"2020-02-07T01:00:00.000Z","value":-2.4240589312144687},{"max_ts":1581037555518.0,"ts":"2020-02-07T01:03:00.000Z","value":-2.4207164096832274},{"max_ts":1581037736450.0,"ts":"2020-02-07T01:06:00.000Z","value":-2.418593338557652},{"max_ts":1581037918183.0,"ts":"2020-02-07T01:09:00.000Z","value":-2.4084682324353386},{"max_ts":1581038099233.0,"ts":"2020-02-07T01:12:00.000Z","value":-2.424942433834076},{"max_ts":1581038275502.0,"ts":"2020-02-07T01:15:00.000Z","value":-2.399608850479126},{"max_ts":1581038440497.0,"ts":"2020-02-07T01:18:00.000Z","value":-2.418727224523371},{"max_ts":1581038632183.0,"ts":"2020-02-07T01:21:00.000Z","value":-2.40615307367765},{"max_ts":1581038819297.0,"ts":"2020-02-07T01:24:00.000Z","value":-2.4049167156219484},{"max_ts":1581038963732.0,"ts":"2020-02-07T01:27:00.000Z","value":-2.3966431067540097},{"max_ts":1581039176759.0,"ts":"2020-02-07T01:30:00.000Z","value":-2.412657062212626},{"max_ts":1581039352769.0,"ts":"2020-02-07T01:33:00.000Z","value":-2.4105147747766402},{"max_ts":1581039512582.0,"ts":"2020-02-07T01:36:00.000Z","value":-2.418489109386097},{"max_ts":1581039693669.0,"ts":"2020-02-07T01:39:00.000Z","value":-2.408682213889228},{"max_ts":1581039891181.0,"ts":"2020-02-07T01:42:00.000Z","value":-2.415633803322202},{"max_ts":1581040077500.0,"ts":"2020-02-07T01:45:00.000Z","value":-2.415001621246338},{"max_ts":1581040258982.0,"ts":"2020-02-07T01:48:00.000Z","value":-2.416095960140228},{"max_ts":1581040435058.0,"ts":"2020-02-07T01:51:00.000Z","value":-2.4172117710113525},{"max_ts":1581040605950.0,"ts":"2020-02-07T01:54:00.000Z","value":-2.4210307598114014},{"max_ts":1581040797935.0,"ts":"2020-02-07T01:57:00.000Z","value":-2.4242462664842606</t>
  </si>
  <si>
    <t>[{"max_ts":1581026776678.0,"ts":"2020-02-06T22:06:00.000Z","value":53.5},{"max_ts":1581027378959.0,"ts":"2020-02-06T22:15:00.000Z","value":54.0},{"max_ts":1581027680155.0,"ts":"2020-02-06T22:21:00.000Z","value":54.5},{"max_ts":1581028282433.0,"ts":"2020-02-06T22:30:00.000Z","value":55.0},{"max_ts":1581028885090.0,"ts":"2020-02-06T22:39:00.000Z","value":55.5},{"max_ts":1581029186239.0,"ts":"2020-02-06T22:45:00.000Z","value":56.0},{"max_ts":1581029788501.0,"ts":"2020-02-06T22:54:00.000Z","value":56.5},{"max_ts":1581030089917.0,"ts":"2020-02-06T23:00:00.000Z","value":57.0},{"max_ts":1581030692154.0,"ts":"2020-02-06T23:09:00.000Z","value":57.5},{"max_ts":1581031294668.0,"ts":"2020-02-06T23:21:00.000Z","value":58.0},{"max_ts":1581031595815.0,"ts":"2020-02-06T23:24:00.000Z","value":58.5},{"max_ts":1581032198117.0,"ts":"2020-02-06T23:36:00.000Z","value":59.0},{"max_ts":1581032499263.0,"ts":"2020-02-06T23:39:00.000Z","value":59.5},{"max_ts":1581032800402.0,"ts":"2020-02-06T23:45:00.000Z","value":60.0},{"max_ts":1581033402729.0,"ts":"2020-02-06T23:54:00.000Z","value":60.5},{"max_ts":1581034005294.0,"ts":"2020-02-07T00:06:00.000Z","value":61.0},{"max_ts":1581034306503.0,"ts":"2020-02-07T00:09:00.000Z","value":61.5},{"max_ts":1581034908899.0,"ts":"2020-02-07T00:21:00.000Z","value":62.0},{"max_ts":1581035210015.0,"ts":"2020-02-07T00:24:00.000Z","value":62.5},{"max_ts":1581035812428.0,"ts":"2020-02-07T00:36:00.000Z","value":63.0},{"max_ts":1581036113569.0,"ts":"2020-02-07T00:39:00.000Z","value":63.5},{"max_ts":1581036716272.0,"ts":"2020-02-07T00:51:00.000Z","value":64.0},{"max_ts":1581037318526.0,"ts":"2020-02-07T01:00:00.000Z","value":64.5},{"max_ts":1581037619677.0,"ts":"2020-02-07T01:06:00.000Z","value":65.0},{"max_ts":1581038222155.0,"ts":"2020-02-07T01:15:00.000Z","value":65.5},{"max_ts":1581038824910.0,"ts":"2020-02-07T01:27:00.000Z","value":66.0},{"max_ts":1581039126417.0,"ts":"2020-02-07T01:30:00.000Z","value":66.5},{"max_ts":1581039729482.0,"ts":"2020-02-07T01:42:00.000Z","value":67.0},{"max_ts":1581040332441.0,"ts":"2020-02-07T01:51:00.000Z","value":67.5},{"max_ts":1581040633680.0,"ts":"2020-02-07T01:57:00.000Z","value":68.0</t>
  </si>
  <si>
    <t>[{"max_ts":1581026777569.0,"ts":"2020-02-06T22:06:00.000Z","value":16.0},{"max_ts":1581027681051.0,"ts":"2020-02-06T22:21:00.000Z","value":15.5},{"max_ts":1581028584831.0,"ts":"2020-02-06T22:36:00.000Z","value":15.0},{"max_ts":1581029488264.0,"ts":"2020-02-06T22:51:00.000Z","value":14.5},{"max_ts":1581030994427.0,"ts":"2020-02-06T23:15:00.000Z","value":14.0},{"max_ts":1581032199020.0,"ts":"2020-02-06T23:36:00.000Z","value":13.5},{"max_ts":1581033403625.0,"ts":"2020-02-06T23:54:00.000Z","value":13.0},{"max_ts":1581036114647.0,"ts":"2020-02-07T00:39:00.000Z","value":12.5},{"max_ts":1581040333332.0,"ts":"2020-02-07T01:51:00.000Z","value":12.0</t>
  </si>
  <si>
    <t>Time [UTC]</t>
  </si>
  <si>
    <t>[{"max_ts":1581012899888.0,"ts":"2020-02-06T18:00:00.000Z","value":4.322420067257351},{"max_ts":1581013797884.0,"ts":"2020-02-06T18:15:00.000Z","value":12.097935542685999},{"max_ts":1581014698266.0,"ts":"2020-02-06T18:30:00.000Z","value":36.47600376394374},{"max_ts":1581015598911.0,"ts":"2020-02-06T18:45:00.000Z","value":11.186837135217129},{"max_ts":1581016488636.0,"ts":"2020-02-06T19:00:00.000Z","value":-2.418268478553714},{"max_ts":1581017391093.0,"ts":"2020-02-06T19:15:00.000Z","value":-2.415473366892615},{"max_ts":1581018297827.0,"ts":"2020-02-06T19:30:00.000Z","value":-2.3915247794909353},{"max_ts":1581019198461.0,"ts":"2020-02-06T19:45:00.000Z","value":-2.3922770800215476},{"max_ts":1581020095117.0,"ts":"2020-02-06T20:00:00.000Z","value":-2.396721939070035},{"max_ts":1581020980473.0,"ts":"2020-02-06T20:15:00.000Z","value":-2.3925461416894738},{"max_ts":1581021897572.0,"ts":"2020-02-06T20:30:00.000Z","value":-2.399499712568341},{"max_ts":1581022777594.0,"ts":"2020-02-06T20:45:00.000Z","value":-2.4034974857380518},{"max_ts":1581023694810.0,"ts":"2020-02-06T21:00:00.000Z","value":-2.3896402517954507},{"max_ts":1581024596415.0,"ts":"2020-02-06T21:15:00.000Z","value":-2.3947308737298716},{"max_ts":1581025497851.0,"ts":"2020-02-06T21:30:00.000Z","value":-2.4004859228928885},{"max_ts":1581026399199.0,"ts":"2020-02-06T21:45:00.000Z","value":-2.398372597694397},{"max_ts":1581027295395.0,"ts":"2020-02-06T22:00:00.000Z","value":-2.406410421643938},{"max_ts":1581028198092.0,"ts":"2020-02-06T22:15:00.000Z","value":-2.409452040087093},{"max_ts":1581029099897.0,"ts":"2020-02-06T22:30:00.000Z","value":-2.412627171988439},{"max_ts":1581029997393.0,"ts":"2020-02-06T22:45:00.000Z","value":-2.3951674641155805},{"max_ts":1581030883485.0,"ts":"2020-02-06T23:00:00.000Z","value":-2.386422068619531},{"max_ts":1581031784320.0,"ts":"2020-02-06T23:15:00.000Z","value":-2.389466258612546},{"max_ts":1581032696062.0,"ts":"2020-02-06T23:30:00.000Z","value":-2.385568970257474},{"max_ts":1581033597190.0,"ts":"2020-02-06T23:45:00.000Z","value":-2.398751925963622},{"max_ts":1581034499576.0,"ts":"2020-02-07T00:00:00.000Z","value":-2.4028685289785403},{"max_ts":1581035379758.0,"ts":"2020-02-07T00:15:00.000Z","value":-2.413958824382109},{"max_ts":1581036296098.0,"ts":"2020-02-07T00:30:00.000Z","value":-2.4156766756616457},{"max_ts":1581037192894.0,"ts":"2020-02-07T00:45:00.000Z","value":-2.4249875295729866},{"max_ts":1581038099233.0,"ts":"2020-02-07T01:00:00.000Z","value":-2.419663005662196},{"max_ts":1581038963732.0,"ts":"2020-02-07T01:15:00.000Z","value":-2.404484797215116},{"max_ts":1581039891181.0,"ts":"2020-02-07T01:30:00.000Z","value":-2.413190811179405},{"max_ts":1581040797935.0,"ts":"2020-02-07T01:45:00.000Z","value":-2.418070487605715},{"max_ts":1581041699694.0,"ts":"2020-02-07T02:00:00.000Z","value":-2.421735595254337},{"max_ts":1581042590057.0,"ts":"2020-02-07T02:15:00.000Z","value":-2.4256133631656045},{"max_ts":1581043491685.0,"ts":"2020-02-07T02:30:00.000Z","value":-2.4210402206941084},{"max_ts":1581044398890.0,"ts":"2020-02-07T02:45:00.000Z","value":-2.4246036931088097},{"max_ts":1581045289795.0,"ts":"2020-02-07T03:00:00.000Z","value":-2.411526375628532},{"max_ts":1581046196417.0,"ts":"2020-02-07T03:15:00.000Z","value":-2.4273632532590397},{"max_ts":1581047086949.0,"ts":"2020-02-07T03:30:00.000Z","value":-2.414881785710653},{"max_ts":1581047994780.0,"ts":"2020-02-07T03:45:00.000Z","value":-2.404151603860675},{"max_ts":1581048895694.0,"ts":"2020-02-07T04:00:00.000Z","value":-2.39682029751898},{"max_ts":1581049766357.0,"ts":"2020-02-07T04:15:00.000Z","value":-2.400738401689391},{"max_ts":1581050699927.0,"ts":"2020-02-07T04:30:00.000Z","value":-2.4015722107887267},{"max_ts":1581051598067.0,"ts":"2020-02-07T04:45:00.000Z","value":-2.3843794487140797</t>
  </si>
  <si>
    <t>[{"max_ts":1581012616974.0,"ts":"2020-02-06T18:00:00.000Z","value":13.0},{"max_ts":1581014424827.0,"ts":"2020-02-06T18:30:00.000Z","value":14.5},{"max_ts":1581015027139.0,"ts":"2020-02-06T18:45:00.000Z","value":17.5},{"max_ts":1581016532928.0,"ts":"2020-02-06T19:15:00.000Z","value":17.0},{"max_ts":1581018941858.0,"ts":"2020-02-06T19:45:00.000Z","value":16.0},{"max_ts":1581021954104.0,"ts":"2020-02-06T20:45:00.000Z","value":15.0},{"max_ts":1581025873266.0,"ts":"2020-02-06T21:45:00.000Z","value":14.0},{"max_ts":1581029186591.0,"ts":"2020-02-06T22:45:00.000Z","value":13.0},{"max_ts":1581032499629.0,"ts":"2020-02-06T23:30:00.000Z","value":12.0},{"max_ts":1581035511549.0,"ts":"2020-02-07T00:30:00.000Z","value":11.0},{"max_ts":1581039126812.0,"ts":"2020-02-07T01:30:00.000Z","value":10.0},{"max_ts":1581043345380.0,"ts":"2020-02-07T02:30:00.000Z","value":9.5},{"max_ts":1581043646628.0,"ts":"2020-02-07T02:45:00.000Z","value":9.0},{"max_ts":1581048466066.0,"ts":"2020-02-07T04:00:00.000Z","value":8.0</t>
  </si>
  <si>
    <t>[{"max_ts":1581012617147.0,"ts":"2020-02-06T18:00:00.000Z","value":13.0},{"max_ts":1581014424977.0,"ts":"2020-02-06T18:30:00.000Z","value":14.5},{"max_ts":1581015027279.0,"ts":"2020-02-06T18:45:00.000Z","value":17.0},{"max_ts":1581015629685.0,"ts":"2020-02-06T19:00:00.000Z","value":17.0},{"max_ts":1581018339757.0,"ts":"2020-02-06T19:45:00.000Z","value":16.0},{"max_ts":1581022556781.0,"ts":"2020-02-06T20:45:00.000Z","value":15.0},{"max_ts":1581026777168.0,"ts":"2020-02-06T22:00:00.000Z","value":14.0},{"max_ts":1581030692716.0,"ts":"2020-02-06T23:00:00.000Z","value":13.0},{"max_ts":1581034608254.0,"ts":"2020-02-07T00:15:00.000Z","value":12.0},{"max_ts":1581038825498.0,"ts":"2020-02-07T01:15:00.000Z","value":11.0},{"max_ts":1581043948138.0,"ts":"2020-02-07T02:45:00.000Z","value":10.0},{"max_ts":1581051177366.0,"ts":"2020-02-07T04:45:00.000Z","value":9.0</t>
  </si>
  <si>
    <t>[{"max_ts":1581012617321.0,"ts":"2020-02-06T18:00:00.000Z","value":13.0},{"max_ts":1581014425116.0,"ts":"2020-02-06T18:30:00.000Z","value":15.0},{"max_ts":1581015328625.0,"ts":"2020-02-06T18:45:00.000Z","value":18.0},{"max_ts":1581015629830.0,"ts":"2020-02-06T19:00:00.000Z","value":18.0},{"max_ts":1581025873598.0,"ts":"2020-02-06T21:45:00.000Z","value":17.0},{"max_ts":1581031596478.0,"ts":"2020-02-06T23:15:00.000Z","value":16.0},{"max_ts":1581035813059.0,"ts":"2020-02-07T00:30:00.000Z","value":15.0},{"max_ts":1581039730303.0,"ts":"2020-02-07T01:30:00.000Z","value":14.0},{"max_ts":1581043345690.0,"ts":"2020-02-07T02:30:00.000Z","value":13.0},{"max_ts":1581047863979.0,"ts":"2020-02-07T03:45:00.000Z","value":12.0</t>
  </si>
  <si>
    <t>[{"max_ts":1581012617491.0,"ts":"2020-02-06T18:00:00.000Z","value":13.0},{"max_ts":1581014425256.0,"ts":"2020-02-06T18:30:00.000Z","value":14.5},{"max_ts":1581015027559.0,"ts":"2020-02-06T18:45:00.000Z","value":17.0},{"max_ts":1581016834453.0,"ts":"2020-02-06T19:15:00.000Z","value":17.0},{"max_ts":1581019846315.0,"ts":"2020-02-06T20:00:00.000Z","value":16.0},{"max_ts":1581023461091.0,"ts":"2020-02-06T21:00:00.000Z","value":15.0},{"max_ts":1581027078581.0,"ts":"2020-02-06T22:00:00.000Z","value":14.0},{"max_ts":1581030391780.0,"ts":"2020-02-06T23:00:00.000Z","value":13.0},{"max_ts":1581033704932.0,"ts":"2020-02-07T00:00:00.000Z","value":12.0},{"max_ts":1581037620458.0,"ts":"2020-02-07T01:00:00.000Z","value":11.0},{"max_ts":1581042442063.0,"ts":"2020-02-07T02:15:00.000Z","value":10.0},{"max_ts":1581048466567.0,"ts":"2020-02-07T04:00:00.000Z","value":9.0</t>
  </si>
  <si>
    <t>[{"max_ts":1581012617662.0,"ts":"2020-02-06T18:00:00.000Z","value":16.5},{"max_ts":1581013220229.0,"ts":"2020-02-06T18:15:00.000Z","value":22.0},{"max_ts":1581014124235.0,"ts":"2020-02-06T18:30:00.000Z","value":25.25},{"max_ts":1581015328896.0,"ts":"2020-02-06T18:45:00.000Z","value":31.75},{"max_ts":1581016232350.0,"ts":"2020-02-06T19:00:00.000Z","value":33.833333333333336},{"max_ts":1581017135690.0,"ts":"2020-02-06T19:15:00.000Z","value":30.0},{"max_ts":1581018039034.0,"ts":"2020-02-06T19:30:00.000Z","value":27.666666666666668},{"max_ts":1581018942389.0,"ts":"2020-02-06T19:45:00.000Z","value":25.5},{"max_ts":1581019846436.0,"ts":"2020-02-06T20:00:00.000Z","value":23.5},{"max_ts":1581020749850.0,"ts":"2020-02-06T20:15:00.000Z","value":22.0},{"max_ts":1581021653514.0,"ts":"2020-02-06T20:30:00.000Z","value":20.75},{"max_ts":1581022557180.0,"ts":"2020-02-06T20:45:00.000Z","value":19.75},{"max_ts":1581023461246.0,"ts":"2020-02-06T21:00:00.000Z","value":18.75},{"max_ts":1581024063943.0,"ts":"2020-02-06T21:15:00.000Z","value":18.0},{"max_ts":1581025270521.0,"ts":"2020-02-06T21:30:00.000Z","value":17.25},{"max_ts":1581026175244.0,"ts":"2020-02-06T21:45:00.000Z","value":16.5},{"max_ts":1581026777569.0,"ts":"2020-02-06T22:00:00.000Z","value":16.0},{"max_ts":1581027681051.0,"ts":"2020-02-06T22:15:00.000Z","value":15.5},{"max_ts":1581028584831.0,"ts":"2020-02-06T22:30:00.000Z","value":15.0},{"max_ts":1581029488264.0,"ts":"2020-02-06T22:45:00.000Z","value":14.5},{"max_ts":1581030994427.0,"ts":"2020-02-06T23:15:00.000Z","value":14.0},{"max_ts":1581032199020.0,"ts":"2020-02-06T23:30:00.000Z","value":13.5},{"max_ts":1581033403625.0,"ts":"2020-02-06T23:45:00.000Z","value":13.0},{"max_ts":1581036114647.0,"ts":"2020-02-07T00:30:00.000Z","value":12.5},{"max_ts":1581040333332.0,"ts":"2020-02-07T01:45:00.000Z","value":12.0</t>
  </si>
  <si>
    <t>put your email adress here</t>
  </si>
  <si>
    <t>your password here</t>
  </si>
  <si>
    <t>click refresh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</si>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</sst>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00"/>
    <numFmt numFmtId="165" formatCode="dd/mm/yyyy\ hh:mm:ss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22" fontId="0" fillId="0" borderId="0" xfId="0" applyNumberFormat="1"/>
    <xf numFmtId="165" fontId="0" fillId="0" borderId="0" xfId="0" applyNumberFormat="1" applyAlignment="1">
      <alignment wrapText="1"/>
    </xf>
    <xf numFmtId="165" fontId="0" fillId="0" borderId="0" xfId="0" applyNumberFormat="1"/>
    <xf numFmtId="0" fontId="2" fillId="0" borderId="0" xfId="0" applyFont="1"/>
    <xf numFmtId="0" fontId="0" fillId="0" borderId="0" xfId="0" applyFont="1"/>
    <xf numFmtId="22" fontId="2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49" fontId="5" fillId="0" borderId="0" xfId="0" applyNumberFormat="1" applyFont="1" applyAlignment="1">
      <alignment vertical="center" wrapText="1"/>
    </xf>
    <xf numFmtId="49" fontId="5" fillId="0" borderId="0" xfId="0" applyNumberFormat="1" applyFont="1" applyAlignment="1">
      <alignment vertical="center"/>
    </xf>
    <xf numFmtId="49" fontId="6" fillId="0" borderId="0" xfId="1" applyNumberFormat="1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/>
    <xf numFmtId="165" fontId="8" fillId="0" borderId="0" xfId="0" applyNumberFormat="1" applyFont="1" applyAlignment="1">
      <alignment wrapText="1"/>
    </xf>
    <xf numFmtId="166" fontId="0" fillId="0" borderId="0" xfId="0" applyNumberFormat="1"/>
    <xf numFmtId="166" fontId="8" fillId="0" borderId="0" xfId="0" quotePrefix="1" applyNumberFormat="1" applyFont="1"/>
    <xf numFmtId="166" fontId="7" fillId="0" borderId="0" xfId="0" applyNumberFormat="1" applyFont="1"/>
    <xf numFmtId="166" fontId="1" fillId="0" borderId="0" xfId="0" applyNumberFormat="1" applyFont="1"/>
    <xf numFmtId="3" fontId="0" fillId="0" borderId="0" xfId="0" applyNumberFormat="1"/>
    <xf numFmtId="3" fontId="8" fillId="0" borderId="0" xfId="0" applyNumberFormat="1" applyFont="1"/>
    <xf numFmtId="165" fontId="8" fillId="0" borderId="0" xfId="0" applyNumberFormat="1" applyFont="1"/>
    <xf numFmtId="165" fontId="2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66" fontId="2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22" fontId="0" fillId="0" borderId="0" xfId="0" applyNumberFormat="1" applyFont="1" applyAlignment="1">
      <alignment horizontal="left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1657350</xdr:colOff>
          <xdr:row>6</xdr:row>
          <xdr:rowOff>161925</xdr:rowOff>
        </xdr:from>
        <xdr:to>
          <xdr:col>0</xdr:col>
          <xdr:colOff>2914650</xdr:colOff>
          <xdr:row>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1666875</xdr:colOff>
          <xdr:row>7</xdr:row>
          <xdr:rowOff>142875</xdr:rowOff>
        </xdr:from>
        <xdr:to>
          <xdr:col>0</xdr:col>
          <xdr:colOff>2924175</xdr:colOff>
          <xdr:row>7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1371600</xdr:colOff>
          <xdr:row>0</xdr:row>
          <xdr:rowOff>142875</xdr:rowOff>
        </xdr:from>
        <xdr:to>
          <xdr:col>5</xdr:col>
          <xdr:colOff>2628900</xdr:colOff>
          <xdr:row>0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95250</xdr:rowOff>
        </xdr:from>
        <xdr:to>
          <xdr:col>1</xdr:col>
          <xdr:colOff>552450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95250</xdr:rowOff>
        </xdr:from>
        <xdr:to>
          <xdr:col>1</xdr:col>
          <xdr:colOff>552450</xdr:colOff>
          <xdr:row>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bd@mayer-automation.a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D1001"/>
  <sheetViews>
    <sheetView tabSelected="1" workbookViewId="0">
      <selection activeCell="A3" sqref="A3"/>
    </sheetView>
  </sheetViews>
  <sheetFormatPr baseColWidth="10" defaultRowHeight="15" x14ac:dyDescent="0.25"/>
  <cols>
    <col min="1" max="1" width="55.28515625" customWidth="1"/>
    <col min="2" max="2" width="61.140625" style="7" customWidth="1"/>
    <col min="3" max="3" width="26.85546875" customWidth="1"/>
    <col min="4" max="4" width="16.7109375" customWidth="1"/>
    <col min="5" max="5" width="27.140625" customWidth="1"/>
  </cols>
  <sheetData>
    <row r="1" spans="1:2" x14ac:dyDescent="0.25">
      <c r="A1" s="1"/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s="11" customFormat="1" ht="26.25" x14ac:dyDescent="0.25">
      <c r="A5" s="11" t="s">
        <v>0</v>
      </c>
      <c r="B5" s="18" t="s">
        <v>58</v>
      </c>
    </row>
    <row r="6" spans="1:2" s="11" customFormat="1" ht="26.25" x14ac:dyDescent="0.25">
      <c r="A6" s="12" t="s">
        <v>1</v>
      </c>
      <c r="B6" s="19" t="s">
        <v>59</v>
      </c>
    </row>
    <row r="7" spans="1:2" s="11" customFormat="1" ht="39.950000000000003" customHeight="1" x14ac:dyDescent="0.25">
      <c r="A7" s="12" t="s">
        <v>3</v>
      </c>
      <c r="B7" s="16" t="s">
        <v>60</v>
      </c>
    </row>
    <row r="8" spans="1:2" s="11" customFormat="1" ht="39.950000000000003" customHeight="1" x14ac:dyDescent="0.25">
      <c r="A8" s="12" t="s">
        <v>2</v>
      </c>
      <c r="B8" s="17" t="s">
        <v>60</v>
      </c>
    </row>
    <row r="9" spans="1:2" s="15" customFormat="1" x14ac:dyDescent="0.25">
      <c r="A9" s="14"/>
      <c r="B9" s="13"/>
    </row>
    <row r="10" spans="1:2" x14ac:dyDescent="0.25">
      <c r="A10" s="2" t="s">
        <v>61</v>
      </c>
      <c r="B10" s="38">
        <v>43869.8125</v>
      </c>
    </row>
    <row r="11" spans="1:2" x14ac:dyDescent="0.25">
      <c r="A11" s="2"/>
    </row>
    <row r="12" spans="1:2" x14ac:dyDescent="0.25">
      <c r="A12" s="2"/>
    </row>
    <row r="13" spans="1:2" ht="326.25" customHeight="1" x14ac:dyDescent="0.25">
      <c r="A13" s="12" t="s">
        <v>7</v>
      </c>
      <c r="B13" s="16"/>
    </row>
    <row r="14" spans="1:2" x14ac:dyDescent="0.25">
      <c r="A14" s="2"/>
    </row>
    <row r="15" spans="1:2" x14ac:dyDescent="0.25">
      <c r="A15" s="2"/>
    </row>
    <row r="16" spans="1:2" x14ac:dyDescent="0.25">
      <c r="A16" s="1"/>
    </row>
    <row r="17" spans="1:4" x14ac:dyDescent="0.25">
      <c r="A17" s="1"/>
    </row>
    <row r="18" spans="1:4" x14ac:dyDescent="0.25">
      <c r="A18" s="1"/>
    </row>
    <row r="19" spans="1:4" x14ac:dyDescent="0.25">
      <c r="A19" s="1"/>
    </row>
    <row r="20" spans="1:4" x14ac:dyDescent="0.25">
      <c r="A20" s="1"/>
    </row>
    <row r="21" spans="1:4" x14ac:dyDescent="0.25">
      <c r="A21" s="1"/>
    </row>
    <row r="22" spans="1:4" x14ac:dyDescent="0.25">
      <c r="A22" s="1"/>
    </row>
    <row r="23" spans="1:4" x14ac:dyDescent="0.25">
      <c r="A23" s="1"/>
    </row>
    <row r="24" spans="1:4" x14ac:dyDescent="0.25">
      <c r="A24" s="1"/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D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hyperlinks>
    <hyperlink ref="B5" r:id="rId1" display="obd@mayer-automation.at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_bearer">
                <anchor moveWithCells="1" sizeWithCells="1">
                  <from>
                    <xdr:col>0</xdr:col>
                    <xdr:colOff>1657350</xdr:colOff>
                    <xdr:row>6</xdr:row>
                    <xdr:rowOff>161925</xdr:rowOff>
                  </from>
                  <to>
                    <xdr:col>0</xdr:col>
                    <xdr:colOff>2914650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resh_device_id">
                <anchor moveWithCells="1" sizeWithCells="1">
                  <from>
                    <xdr:col>0</xdr:col>
                    <xdr:colOff>1666875</xdr:colOff>
                    <xdr:row>7</xdr:row>
                    <xdr:rowOff>142875</xdr:rowOff>
                  </from>
                  <to>
                    <xdr:col>0</xdr:col>
                    <xdr:colOff>2924175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H36"/>
  <sheetViews>
    <sheetView workbookViewId="0">
      <selection activeCell="F23" sqref="F23"/>
    </sheetView>
  </sheetViews>
  <sheetFormatPr baseColWidth="10" defaultRowHeight="15" x14ac:dyDescent="0.25"/>
  <cols>
    <col min="1" max="1" width="20.140625" bestFit="1" customWidth="1"/>
    <col min="2" max="2" width="18.42578125" bestFit="1" customWidth="1"/>
    <col min="3" max="3" width="3.5703125" style="3" customWidth="1"/>
    <col min="4" max="4" width="2.7109375" style="3" customWidth="1"/>
    <col min="5" max="5" width="3" style="10" customWidth="1"/>
    <col min="6" max="6" width="44.28515625" customWidth="1"/>
    <col min="8" max="8" width="122.28515625" customWidth="1"/>
  </cols>
  <sheetData>
    <row r="1" spans="1:8" s="6" customFormat="1" ht="38.25" customHeight="1" x14ac:dyDescent="0.25">
      <c r="A1" s="6" t="s">
        <v>46</v>
      </c>
      <c r="B1" s="6" t="s">
        <v>4</v>
      </c>
      <c r="F1" s="20" t="s">
        <v>9</v>
      </c>
      <c r="H1" s="37"/>
    </row>
    <row r="2" spans="1:8" x14ac:dyDescent="0.25">
      <c r="F2" t="s">
        <v>10</v>
      </c>
      <c r="H2" s="37"/>
    </row>
    <row r="3" spans="1:8" x14ac:dyDescent="0.25">
      <c r="A3" s="8"/>
      <c r="B3" s="5"/>
      <c r="F3" t="s">
        <v>11</v>
      </c>
      <c r="H3" s="37"/>
    </row>
    <row r="4" spans="1:8" x14ac:dyDescent="0.25">
      <c r="A4" s="8"/>
      <c r="B4" s="5"/>
      <c r="F4" t="s">
        <v>12</v>
      </c>
      <c r="H4" s="37"/>
    </row>
    <row r="5" spans="1:8" x14ac:dyDescent="0.25">
      <c r="F5" t="s">
        <v>13</v>
      </c>
      <c r="H5" s="37"/>
    </row>
    <row r="6" spans="1:8" x14ac:dyDescent="0.25">
      <c r="F6" t="s">
        <v>14</v>
      </c>
      <c r="H6" s="37"/>
    </row>
    <row r="7" spans="1:8" x14ac:dyDescent="0.25">
      <c r="F7" t="s">
        <v>15</v>
      </c>
      <c r="H7" s="37"/>
    </row>
    <row r="8" spans="1:8" x14ac:dyDescent="0.25">
      <c r="F8" t="s">
        <v>16</v>
      </c>
      <c r="H8" s="37"/>
    </row>
    <row r="9" spans="1:8" x14ac:dyDescent="0.25">
      <c r="F9" t="s">
        <v>17</v>
      </c>
      <c r="H9" s="37"/>
    </row>
    <row r="10" spans="1:8" x14ac:dyDescent="0.25">
      <c r="C10" s="9"/>
      <c r="F10" t="s">
        <v>18</v>
      </c>
    </row>
    <row r="11" spans="1:8" x14ac:dyDescent="0.25">
      <c r="C11" s="10"/>
      <c r="F11" t="s">
        <v>18</v>
      </c>
    </row>
    <row r="12" spans="1:8" x14ac:dyDescent="0.25">
      <c r="C12" s="10"/>
      <c r="F12" t="s">
        <v>19</v>
      </c>
    </row>
    <row r="13" spans="1:8" x14ac:dyDescent="0.25">
      <c r="C13" s="10"/>
      <c r="F13" t="s">
        <v>20</v>
      </c>
    </row>
    <row r="14" spans="1:8" x14ac:dyDescent="0.25">
      <c r="C14" s="10"/>
      <c r="F14" t="s">
        <v>21</v>
      </c>
    </row>
    <row r="15" spans="1:8" x14ac:dyDescent="0.25">
      <c r="F15" t="s">
        <v>22</v>
      </c>
    </row>
    <row r="16" spans="1:8" x14ac:dyDescent="0.25">
      <c r="F16" t="s">
        <v>8</v>
      </c>
    </row>
    <row r="17" spans="1:6" x14ac:dyDescent="0.25">
      <c r="F17" t="s">
        <v>23</v>
      </c>
    </row>
    <row r="18" spans="1:6" x14ac:dyDescent="0.25">
      <c r="F18" t="s">
        <v>24</v>
      </c>
    </row>
    <row r="19" spans="1:6" x14ac:dyDescent="0.25">
      <c r="F19" t="s">
        <v>25</v>
      </c>
    </row>
    <row r="20" spans="1:6" x14ac:dyDescent="0.25">
      <c r="F20" t="s">
        <v>26</v>
      </c>
    </row>
    <row r="21" spans="1:6" x14ac:dyDescent="0.25">
      <c r="F21" t="s">
        <v>27</v>
      </c>
    </row>
    <row r="22" spans="1:6" x14ac:dyDescent="0.25">
      <c r="F22" t="s">
        <v>28</v>
      </c>
    </row>
    <row r="23" spans="1:6" x14ac:dyDescent="0.25">
      <c r="A23" s="21"/>
      <c r="F23" t="s">
        <v>29</v>
      </c>
    </row>
    <row r="24" spans="1:6" x14ac:dyDescent="0.25">
      <c r="F24" t="s">
        <v>30</v>
      </c>
    </row>
    <row r="25" spans="1:6" x14ac:dyDescent="0.25">
      <c r="F25" t="s">
        <v>31</v>
      </c>
    </row>
    <row r="26" spans="1:6" x14ac:dyDescent="0.25">
      <c r="F26" t="s">
        <v>32</v>
      </c>
    </row>
    <row r="27" spans="1:6" x14ac:dyDescent="0.25">
      <c r="F27" t="s">
        <v>33</v>
      </c>
    </row>
    <row r="28" spans="1:6" x14ac:dyDescent="0.25">
      <c r="F28" t="s">
        <v>34</v>
      </c>
    </row>
    <row r="29" spans="1:6" x14ac:dyDescent="0.25">
      <c r="F29" t="s">
        <v>35</v>
      </c>
    </row>
    <row r="30" spans="1:6" x14ac:dyDescent="0.25">
      <c r="F30" t="s">
        <v>36</v>
      </c>
    </row>
    <row r="31" spans="1:6" x14ac:dyDescent="0.25">
      <c r="F31" t="s">
        <v>37</v>
      </c>
    </row>
    <row r="32" spans="1:6" x14ac:dyDescent="0.25">
      <c r="F32" t="s">
        <v>38</v>
      </c>
    </row>
    <row r="33" spans="6:6" x14ac:dyDescent="0.25">
      <c r="F33" t="s">
        <v>39</v>
      </c>
    </row>
    <row r="34" spans="6:6" x14ac:dyDescent="0.25">
      <c r="F34" t="s">
        <v>40</v>
      </c>
    </row>
    <row r="35" spans="6:6" x14ac:dyDescent="0.25">
      <c r="F35" t="s">
        <v>41</v>
      </c>
    </row>
    <row r="36" spans="6:6" x14ac:dyDescent="0.25">
      <c r="F36" t="s">
        <v>42</v>
      </c>
    </row>
  </sheetData>
  <mergeCells count="1">
    <mergeCell ref="H1:H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_TagnameList">
                <anchor moveWithCells="1" sizeWithCells="1">
                  <from>
                    <xdr:col>5</xdr:col>
                    <xdr:colOff>1371600</xdr:colOff>
                    <xdr:row>0</xdr:row>
                    <xdr:rowOff>142875</xdr:rowOff>
                  </from>
                  <to>
                    <xdr:col>5</xdr:col>
                    <xdr:colOff>2628900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Q91"/>
  <sheetViews>
    <sheetView workbookViewId="0">
      <selection activeCell="A4" sqref="A4"/>
    </sheetView>
  </sheetViews>
  <sheetFormatPr baseColWidth="10" defaultRowHeight="15" x14ac:dyDescent="0.25"/>
  <cols>
    <col min="1" max="1" width="17.85546875" style="5" bestFit="1" customWidth="1"/>
    <col min="2" max="2" width="17.7109375" style="23" customWidth="1"/>
    <col min="3" max="3" width="12.28515625" style="23" customWidth="1"/>
    <col min="4" max="4" width="17.42578125" style="23" customWidth="1"/>
    <col min="5" max="5" width="18.5703125" style="23" customWidth="1"/>
    <col min="6" max="36" width="10.7109375" style="23" customWidth="1"/>
    <col min="37" max="43" width="11.42578125" style="23"/>
  </cols>
  <sheetData>
    <row r="1" spans="1:43" x14ac:dyDescent="0.25">
      <c r="A1" s="4"/>
    </row>
    <row r="2" spans="1:43" x14ac:dyDescent="0.25">
      <c r="A2" s="4"/>
    </row>
    <row r="3" spans="1:43" x14ac:dyDescent="0.25">
      <c r="A3" s="8" t="s">
        <v>5</v>
      </c>
      <c r="B3" s="3">
        <v>43867.916666666664</v>
      </c>
    </row>
    <row r="4" spans="1:43" x14ac:dyDescent="0.25">
      <c r="A4" s="8" t="s">
        <v>6</v>
      </c>
      <c r="B4" s="3">
        <v>43868.083333333336</v>
      </c>
    </row>
    <row r="5" spans="1:43" x14ac:dyDescent="0.25">
      <c r="A5" s="8" t="s">
        <v>43</v>
      </c>
      <c r="B5" s="27">
        <v>180</v>
      </c>
    </row>
    <row r="6" spans="1:43" x14ac:dyDescent="0.25">
      <c r="A6" s="22" t="s">
        <v>47</v>
      </c>
      <c r="B6" s="28">
        <f>(B4-B3)*(86400/B5)</f>
        <v>80.000000002328306</v>
      </c>
    </row>
    <row r="7" spans="1:43" x14ac:dyDescent="0.25">
      <c r="A7" s="29">
        <v>43868.07708333333</v>
      </c>
      <c r="B7" s="24" t="s">
        <v>44</v>
      </c>
    </row>
    <row r="8" spans="1:43" x14ac:dyDescent="0.25">
      <c r="A8" s="28">
        <v>91</v>
      </c>
      <c r="B8" s="24" t="s">
        <v>45</v>
      </c>
    </row>
    <row r="9" spans="1:43" s="34" customFormat="1" ht="88.5" customHeight="1" x14ac:dyDescent="0.2">
      <c r="B9" s="34" t="s">
        <v>48</v>
      </c>
      <c r="C9" s="34" t="s">
        <v>49</v>
      </c>
      <c r="D9" s="34" t="s">
        <v>50</v>
      </c>
    </row>
    <row r="10" spans="1:43" s="33" customFormat="1" ht="69" customHeight="1" x14ac:dyDescent="0.25">
      <c r="A10" s="30" t="s">
        <v>51</v>
      </c>
      <c r="B10" s="31" t="s">
        <v>23</v>
      </c>
      <c r="C10" s="31" t="s">
        <v>8</v>
      </c>
      <c r="D10" s="31" t="s">
        <v>30</v>
      </c>
      <c r="E10" s="31"/>
      <c r="F10" s="31"/>
      <c r="G10" s="31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</row>
    <row r="11" spans="1:43" x14ac:dyDescent="0.25">
      <c r="A11" s="5">
        <v>43867.916666666664</v>
      </c>
      <c r="B11" s="25">
        <v>-2.4134518078395297</v>
      </c>
      <c r="C11" s="26">
        <v>0</v>
      </c>
      <c r="D11" s="26">
        <v>0</v>
      </c>
      <c r="E11" s="26"/>
      <c r="F11" s="26"/>
      <c r="G11" s="26"/>
    </row>
    <row r="12" spans="1:43" x14ac:dyDescent="0.25">
      <c r="A12" s="5">
        <v>43867.918749999997</v>
      </c>
      <c r="B12" s="25">
        <v>-2.4107183774312335</v>
      </c>
      <c r="C12" s="26">
        <v>0</v>
      </c>
      <c r="D12" s="26">
        <v>0</v>
      </c>
      <c r="E12" s="26"/>
      <c r="F12" s="26"/>
      <c r="G12" s="26"/>
    </row>
    <row r="13" spans="1:43" x14ac:dyDescent="0.25">
      <c r="A13" s="5">
        <v>43867.92083333333</v>
      </c>
      <c r="B13" s="25">
        <v>-2.407394781112671</v>
      </c>
      <c r="C13" s="25">
        <v>53.5</v>
      </c>
      <c r="D13" s="25">
        <v>16</v>
      </c>
      <c r="E13" s="26"/>
      <c r="F13" s="26"/>
      <c r="G13" s="26"/>
    </row>
    <row r="14" spans="1:43" x14ac:dyDescent="0.25">
      <c r="A14" s="5">
        <v>43867.92291666667</v>
      </c>
      <c r="B14" s="25">
        <v>-2.3947594392867315</v>
      </c>
      <c r="C14" s="26">
        <v>53.5</v>
      </c>
      <c r="D14" s="26">
        <v>16</v>
      </c>
      <c r="E14" s="26"/>
      <c r="F14" s="26"/>
      <c r="G14" s="26"/>
    </row>
    <row r="15" spans="1:43" x14ac:dyDescent="0.25">
      <c r="A15" s="5">
        <v>43867.925000000003</v>
      </c>
      <c r="B15" s="25">
        <v>-2.3993213653564451</v>
      </c>
      <c r="C15" s="26">
        <v>53.5</v>
      </c>
      <c r="D15" s="26">
        <v>16</v>
      </c>
      <c r="E15" s="26"/>
      <c r="F15" s="26"/>
      <c r="G15" s="26"/>
    </row>
    <row r="16" spans="1:43" x14ac:dyDescent="0.25">
      <c r="A16" s="5">
        <v>43867.927083333336</v>
      </c>
      <c r="B16" s="25">
        <v>-2.4177707767486574</v>
      </c>
      <c r="C16" s="25">
        <v>54</v>
      </c>
      <c r="D16" s="26">
        <v>16</v>
      </c>
      <c r="E16" s="26"/>
      <c r="F16" s="26"/>
      <c r="G16" s="26"/>
    </row>
    <row r="17" spans="1:7" x14ac:dyDescent="0.25">
      <c r="A17" s="5">
        <v>43867.929166666669</v>
      </c>
      <c r="B17" s="25">
        <v>-2.4045524795850119</v>
      </c>
      <c r="C17" s="26">
        <v>54</v>
      </c>
      <c r="D17" s="26">
        <v>16</v>
      </c>
      <c r="E17" s="26"/>
      <c r="F17" s="26"/>
      <c r="G17" s="26"/>
    </row>
    <row r="18" spans="1:7" x14ac:dyDescent="0.25">
      <c r="A18" s="5">
        <v>43867.931250000001</v>
      </c>
      <c r="B18" s="25">
        <v>-2.3982729631311752</v>
      </c>
      <c r="C18" s="25">
        <v>54.5</v>
      </c>
      <c r="D18" s="25">
        <v>15.5</v>
      </c>
      <c r="E18" s="26"/>
      <c r="F18" s="26"/>
      <c r="G18" s="26"/>
    </row>
    <row r="19" spans="1:7" x14ac:dyDescent="0.25">
      <c r="A19" s="5">
        <v>43867.933333333334</v>
      </c>
      <c r="B19" s="25">
        <v>-2.4108280022939046</v>
      </c>
      <c r="C19" s="26">
        <v>54.5</v>
      </c>
      <c r="D19" s="26">
        <v>15.5</v>
      </c>
      <c r="E19" s="26"/>
      <c r="F19" s="26"/>
      <c r="G19" s="26"/>
    </row>
    <row r="20" spans="1:7" x14ac:dyDescent="0.25">
      <c r="A20" s="5">
        <v>43867.935416666667</v>
      </c>
      <c r="B20" s="25">
        <v>-2.4105168392783716</v>
      </c>
      <c r="C20" s="26">
        <v>54.5</v>
      </c>
      <c r="D20" s="26">
        <v>15.5</v>
      </c>
      <c r="E20" s="26"/>
      <c r="F20" s="26"/>
      <c r="G20" s="26"/>
    </row>
    <row r="21" spans="1:7" x14ac:dyDescent="0.25">
      <c r="A21" s="5">
        <v>43867.9375</v>
      </c>
      <c r="B21" s="25">
        <v>-2.409344098784707</v>
      </c>
      <c r="C21" s="25">
        <v>55</v>
      </c>
      <c r="D21" s="26">
        <v>15.5</v>
      </c>
      <c r="E21" s="26"/>
      <c r="F21" s="26"/>
      <c r="G21" s="26"/>
    </row>
    <row r="22" spans="1:7" x14ac:dyDescent="0.25">
      <c r="A22" s="5">
        <v>43867.939583333333</v>
      </c>
      <c r="B22" s="25">
        <v>-2.4200482648961685</v>
      </c>
      <c r="C22" s="26">
        <v>55</v>
      </c>
      <c r="D22" s="26">
        <v>15.5</v>
      </c>
      <c r="E22" s="26"/>
      <c r="F22" s="26"/>
      <c r="G22" s="26"/>
    </row>
    <row r="23" spans="1:7" x14ac:dyDescent="0.25">
      <c r="A23" s="5">
        <v>43867.941666666666</v>
      </c>
      <c r="B23" s="25">
        <v>-2.4102143101070239</v>
      </c>
      <c r="C23" s="26">
        <v>55</v>
      </c>
      <c r="D23" s="25">
        <v>15</v>
      </c>
      <c r="E23" s="26"/>
      <c r="F23" s="26"/>
      <c r="G23" s="26"/>
    </row>
    <row r="24" spans="1:7" x14ac:dyDescent="0.25">
      <c r="A24" s="5">
        <v>43867.943749999999</v>
      </c>
      <c r="B24" s="25">
        <v>-2.4056335898006664</v>
      </c>
      <c r="C24" s="25">
        <v>55.5</v>
      </c>
      <c r="D24" s="26">
        <v>15</v>
      </c>
      <c r="E24" s="26"/>
      <c r="F24" s="26"/>
      <c r="G24" s="26"/>
    </row>
    <row r="25" spans="1:7" x14ac:dyDescent="0.25">
      <c r="A25" s="5">
        <v>43867.945833333331</v>
      </c>
      <c r="B25" s="25">
        <v>-2.4186499595642088</v>
      </c>
      <c r="C25" s="26">
        <v>55.5</v>
      </c>
      <c r="D25" s="26">
        <v>15</v>
      </c>
      <c r="E25" s="26"/>
      <c r="F25" s="26"/>
      <c r="G25" s="26"/>
    </row>
    <row r="26" spans="1:7" x14ac:dyDescent="0.25">
      <c r="A26" s="5">
        <v>43867.947916666664</v>
      </c>
      <c r="B26" s="25">
        <v>-2.3942400217056274</v>
      </c>
      <c r="C26" s="25">
        <v>56</v>
      </c>
      <c r="D26" s="26">
        <v>15</v>
      </c>
      <c r="E26" s="26"/>
      <c r="F26" s="26"/>
      <c r="G26" s="26"/>
    </row>
    <row r="27" spans="1:7" x14ac:dyDescent="0.25">
      <c r="A27" s="5">
        <v>43867.95</v>
      </c>
      <c r="B27" s="25">
        <v>-2.3966421077125952</v>
      </c>
      <c r="C27" s="26">
        <v>56</v>
      </c>
      <c r="D27" s="26">
        <v>15</v>
      </c>
      <c r="E27" s="26"/>
      <c r="F27" s="26"/>
      <c r="G27" s="26"/>
    </row>
    <row r="28" spans="1:7" x14ac:dyDescent="0.25">
      <c r="A28" s="5">
        <v>43867.95208333333</v>
      </c>
      <c r="B28" s="25">
        <v>-2.4055692507670474</v>
      </c>
      <c r="C28" s="26">
        <v>56</v>
      </c>
      <c r="D28" s="25">
        <v>14.5</v>
      </c>
      <c r="E28" s="26"/>
      <c r="F28" s="26"/>
      <c r="G28" s="26"/>
    </row>
    <row r="29" spans="1:7" x14ac:dyDescent="0.25">
      <c r="A29" s="5">
        <v>43867.95416666667</v>
      </c>
      <c r="B29" s="25">
        <v>-2.396232008934021</v>
      </c>
      <c r="C29" s="25">
        <v>56.5</v>
      </c>
      <c r="D29" s="26">
        <v>14.5</v>
      </c>
      <c r="E29" s="26"/>
      <c r="F29" s="26"/>
      <c r="G29" s="26"/>
    </row>
    <row r="30" spans="1:7" x14ac:dyDescent="0.25">
      <c r="A30" s="5">
        <v>43867.956250000003</v>
      </c>
      <c r="B30" s="25">
        <v>-2.3843499792033227</v>
      </c>
      <c r="C30" s="26">
        <v>56.5</v>
      </c>
      <c r="D30" s="26">
        <v>14.5</v>
      </c>
      <c r="E30" s="26"/>
      <c r="F30" s="26"/>
      <c r="G30" s="26"/>
    </row>
    <row r="31" spans="1:7" x14ac:dyDescent="0.25">
      <c r="A31" s="5">
        <v>43867.958333333336</v>
      </c>
      <c r="B31" s="25">
        <v>-2.3872489809989927</v>
      </c>
      <c r="C31" s="25">
        <v>57</v>
      </c>
      <c r="D31" s="26">
        <v>14.5</v>
      </c>
      <c r="E31" s="26"/>
      <c r="F31" s="26"/>
      <c r="G31" s="26"/>
    </row>
    <row r="32" spans="1:7" x14ac:dyDescent="0.25">
      <c r="A32" s="5">
        <v>43867.960416666669</v>
      </c>
      <c r="B32" s="25">
        <v>-2.3774148349104256</v>
      </c>
      <c r="C32" s="26">
        <v>57</v>
      </c>
      <c r="D32" s="26">
        <v>14.5</v>
      </c>
      <c r="E32" s="26"/>
      <c r="F32" s="26"/>
      <c r="G32" s="26"/>
    </row>
    <row r="33" spans="1:7" x14ac:dyDescent="0.25">
      <c r="A33" s="5">
        <v>43867.962500000001</v>
      </c>
      <c r="B33" s="25">
        <v>-2.3895496221689076</v>
      </c>
      <c r="C33" s="26">
        <v>57</v>
      </c>
      <c r="D33" s="26">
        <v>14.5</v>
      </c>
      <c r="E33" s="26"/>
      <c r="F33" s="26"/>
      <c r="G33" s="26"/>
    </row>
    <row r="34" spans="1:7" x14ac:dyDescent="0.25">
      <c r="A34" s="5">
        <v>43867.964583333334</v>
      </c>
      <c r="B34" s="25">
        <v>-2.3899291654427848</v>
      </c>
      <c r="C34" s="25">
        <v>57.5</v>
      </c>
      <c r="D34" s="26">
        <v>14.5</v>
      </c>
      <c r="E34" s="26"/>
      <c r="F34" s="26"/>
      <c r="G34" s="26"/>
    </row>
    <row r="35" spans="1:7" x14ac:dyDescent="0.25">
      <c r="A35" s="5">
        <v>43867.966666666667</v>
      </c>
      <c r="B35" s="25">
        <v>-2.3900213783437554</v>
      </c>
      <c r="C35" s="26">
        <v>57.5</v>
      </c>
      <c r="D35" s="26">
        <v>14.5</v>
      </c>
      <c r="E35" s="26"/>
      <c r="F35" s="26"/>
      <c r="G35" s="26"/>
    </row>
    <row r="36" spans="1:7" x14ac:dyDescent="0.25">
      <c r="A36" s="5">
        <v>43867.96875</v>
      </c>
      <c r="B36" s="25">
        <v>-2.3892335721424649</v>
      </c>
      <c r="C36" s="26">
        <v>57.5</v>
      </c>
      <c r="D36" s="25">
        <v>14</v>
      </c>
      <c r="E36" s="26"/>
      <c r="F36" s="26"/>
      <c r="G36" s="26"/>
    </row>
    <row r="37" spans="1:7" x14ac:dyDescent="0.25">
      <c r="A37" s="5">
        <v>43867.970833333333</v>
      </c>
      <c r="B37" s="25">
        <v>-2.3910146713256837</v>
      </c>
      <c r="C37" s="26">
        <v>57.5</v>
      </c>
      <c r="D37" s="26">
        <v>14</v>
      </c>
      <c r="E37" s="26"/>
      <c r="F37" s="26"/>
      <c r="G37" s="26"/>
    </row>
    <row r="38" spans="1:7" x14ac:dyDescent="0.25">
      <c r="A38" s="5">
        <v>43867.972916666666</v>
      </c>
      <c r="B38" s="25">
        <v>-2.3930379215039705</v>
      </c>
      <c r="C38" s="25">
        <v>58</v>
      </c>
      <c r="D38" s="26">
        <v>14</v>
      </c>
      <c r="E38" s="26"/>
      <c r="F38" s="26"/>
      <c r="G38" s="26"/>
    </row>
    <row r="39" spans="1:7" x14ac:dyDescent="0.25">
      <c r="A39" s="5">
        <v>43867.974999999999</v>
      </c>
      <c r="B39" s="25">
        <v>-2.3860683441162109</v>
      </c>
      <c r="C39" s="25">
        <v>58.5</v>
      </c>
      <c r="D39" s="26">
        <v>14</v>
      </c>
      <c r="E39" s="26"/>
      <c r="F39" s="26"/>
      <c r="G39" s="26"/>
    </row>
    <row r="40" spans="1:7" x14ac:dyDescent="0.25">
      <c r="A40" s="5">
        <v>43867.977083333331</v>
      </c>
      <c r="B40" s="25">
        <v>-2.3890737444162369</v>
      </c>
      <c r="C40" s="26">
        <v>58.5</v>
      </c>
      <c r="D40" s="26">
        <v>14</v>
      </c>
      <c r="E40" s="26"/>
      <c r="F40" s="26"/>
      <c r="G40" s="26"/>
    </row>
    <row r="41" spans="1:7" x14ac:dyDescent="0.25">
      <c r="A41" s="5">
        <v>43867.979166666664</v>
      </c>
      <c r="B41" s="25">
        <v>-2.3930858915502373</v>
      </c>
      <c r="C41" s="26">
        <v>58.5</v>
      </c>
      <c r="D41" s="26">
        <v>14</v>
      </c>
      <c r="E41" s="26"/>
      <c r="F41" s="26"/>
      <c r="G41" s="26"/>
    </row>
    <row r="42" spans="1:7" x14ac:dyDescent="0.25">
      <c r="A42" s="5">
        <v>43867.981249999997</v>
      </c>
      <c r="B42" s="25">
        <v>-2.3839742258975378</v>
      </c>
      <c r="C42" s="26">
        <v>58.5</v>
      </c>
      <c r="D42" s="26">
        <v>14</v>
      </c>
      <c r="E42" s="26"/>
      <c r="F42" s="26"/>
      <c r="G42" s="26"/>
    </row>
    <row r="43" spans="1:7" x14ac:dyDescent="0.25">
      <c r="A43" s="5">
        <v>43867.98333333333</v>
      </c>
      <c r="B43" s="25">
        <v>-2.3813763041245308</v>
      </c>
      <c r="C43" s="25">
        <v>59</v>
      </c>
      <c r="D43" s="25">
        <v>13.5</v>
      </c>
      <c r="E43" s="26"/>
      <c r="F43" s="26"/>
      <c r="G43" s="26"/>
    </row>
    <row r="44" spans="1:7" x14ac:dyDescent="0.25">
      <c r="A44" s="5">
        <v>43867.98541666667</v>
      </c>
      <c r="B44" s="25">
        <v>-2.3751957586833408</v>
      </c>
      <c r="C44" s="25">
        <v>59.5</v>
      </c>
      <c r="D44" s="26">
        <v>13.5</v>
      </c>
      <c r="E44" s="26"/>
      <c r="F44" s="26"/>
      <c r="G44" s="26"/>
    </row>
    <row r="45" spans="1:7" x14ac:dyDescent="0.25">
      <c r="A45" s="5">
        <v>43867.987500000003</v>
      </c>
      <c r="B45" s="25">
        <v>-2.3894739047340723</v>
      </c>
      <c r="C45" s="26">
        <v>59.5</v>
      </c>
      <c r="D45" s="26">
        <v>13.5</v>
      </c>
      <c r="E45" s="26"/>
      <c r="F45" s="26"/>
      <c r="G45" s="26"/>
    </row>
    <row r="46" spans="1:7" x14ac:dyDescent="0.25">
      <c r="A46" s="5">
        <v>43867.989583333336</v>
      </c>
      <c r="B46" s="25">
        <v>-2.3867818117141724</v>
      </c>
      <c r="C46" s="25">
        <v>60</v>
      </c>
      <c r="D46" s="26">
        <v>13.5</v>
      </c>
      <c r="E46" s="26"/>
      <c r="F46" s="26"/>
      <c r="G46" s="26"/>
    </row>
    <row r="47" spans="1:7" x14ac:dyDescent="0.25">
      <c r="A47" s="5">
        <v>43867.991666666669</v>
      </c>
      <c r="B47" s="25">
        <v>-2.4062984491649426</v>
      </c>
      <c r="C47" s="26">
        <v>60</v>
      </c>
      <c r="D47" s="26">
        <v>13.5</v>
      </c>
      <c r="E47" s="26"/>
      <c r="F47" s="26"/>
      <c r="G47" s="26"/>
    </row>
    <row r="48" spans="1:7" x14ac:dyDescent="0.25">
      <c r="A48" s="5">
        <v>43867.993750000001</v>
      </c>
      <c r="B48" s="25">
        <v>-2.4006783866882326</v>
      </c>
      <c r="C48" s="26">
        <v>60</v>
      </c>
      <c r="D48" s="26">
        <v>13.5</v>
      </c>
      <c r="E48" s="26"/>
      <c r="F48" s="26"/>
      <c r="G48" s="26"/>
    </row>
    <row r="49" spans="1:7" x14ac:dyDescent="0.25">
      <c r="A49" s="5">
        <v>43867.995833333334</v>
      </c>
      <c r="B49" s="25">
        <v>-2.3973027467727661</v>
      </c>
      <c r="C49" s="25">
        <v>60.5</v>
      </c>
      <c r="D49" s="25">
        <v>13</v>
      </c>
      <c r="E49" s="26"/>
      <c r="F49" s="26"/>
      <c r="G49" s="26"/>
    </row>
    <row r="50" spans="1:7" x14ac:dyDescent="0.25">
      <c r="A50" s="5">
        <v>43867.997916666667</v>
      </c>
      <c r="B50" s="25">
        <v>-2.4052318632602692</v>
      </c>
      <c r="C50" s="26">
        <v>60.5</v>
      </c>
      <c r="D50" s="26">
        <v>13</v>
      </c>
      <c r="E50" s="26"/>
      <c r="F50" s="26"/>
      <c r="G50" s="26"/>
    </row>
    <row r="51" spans="1:7" x14ac:dyDescent="0.25">
      <c r="A51" s="5">
        <v>43867</v>
      </c>
      <c r="B51" s="26">
        <v>-2.4052318632602692</v>
      </c>
      <c r="C51" s="26">
        <v>60.5</v>
      </c>
      <c r="D51" s="26">
        <v>13</v>
      </c>
      <c r="E51" s="26"/>
      <c r="F51" s="26"/>
      <c r="G51" s="26"/>
    </row>
    <row r="52" spans="1:7" x14ac:dyDescent="0.25">
      <c r="A52" s="5">
        <v>43868.002083333333</v>
      </c>
      <c r="B52" s="25">
        <v>-2.4036179284254708</v>
      </c>
      <c r="C52" s="26">
        <v>60.5</v>
      </c>
      <c r="D52" s="26">
        <v>13</v>
      </c>
      <c r="E52" s="26"/>
      <c r="F52" s="26"/>
      <c r="G52" s="26"/>
    </row>
    <row r="53" spans="1:7" x14ac:dyDescent="0.25">
      <c r="A53" s="5">
        <v>43868.004166666666</v>
      </c>
      <c r="B53" s="25">
        <v>-2.3979361160941748</v>
      </c>
      <c r="C53" s="25">
        <v>61</v>
      </c>
      <c r="D53" s="26">
        <v>13</v>
      </c>
      <c r="E53" s="26"/>
      <c r="F53" s="26"/>
      <c r="G53" s="26"/>
    </row>
    <row r="54" spans="1:7" x14ac:dyDescent="0.25">
      <c r="A54" s="5">
        <v>43868.006249999999</v>
      </c>
      <c r="B54" s="25">
        <v>-2.4004288779364691</v>
      </c>
      <c r="C54" s="25">
        <v>61.5</v>
      </c>
      <c r="D54" s="26">
        <v>13</v>
      </c>
      <c r="E54" s="26"/>
      <c r="F54" s="26"/>
      <c r="G54" s="26"/>
    </row>
    <row r="55" spans="1:7" x14ac:dyDescent="0.25">
      <c r="A55" s="5">
        <v>43868.008333333331</v>
      </c>
      <c r="B55" s="25">
        <v>-2.40777497821384</v>
      </c>
      <c r="C55" s="26">
        <v>61.5</v>
      </c>
      <c r="D55" s="26">
        <v>13</v>
      </c>
      <c r="E55" s="26"/>
      <c r="F55" s="26"/>
      <c r="G55" s="26"/>
    </row>
    <row r="56" spans="1:7" x14ac:dyDescent="0.25">
      <c r="A56" s="5">
        <v>43868.010416666664</v>
      </c>
      <c r="B56" s="25">
        <v>-2.4133563418137398</v>
      </c>
      <c r="C56" s="26">
        <v>61.5</v>
      </c>
      <c r="D56" s="26">
        <v>13</v>
      </c>
      <c r="E56" s="26"/>
      <c r="F56" s="26"/>
      <c r="G56" s="26"/>
    </row>
    <row r="57" spans="1:7" x14ac:dyDescent="0.25">
      <c r="A57" s="5">
        <v>43868.012499999997</v>
      </c>
      <c r="B57" s="25">
        <v>-2.4265883101357355</v>
      </c>
      <c r="C57" s="26">
        <v>61.5</v>
      </c>
      <c r="D57" s="26">
        <v>13</v>
      </c>
      <c r="E57" s="26"/>
      <c r="F57" s="26"/>
      <c r="G57" s="26"/>
    </row>
    <row r="58" spans="1:7" x14ac:dyDescent="0.25">
      <c r="A58" s="5">
        <v>43868.01458333333</v>
      </c>
      <c r="B58" s="25">
        <v>-2.3975336211068288</v>
      </c>
      <c r="C58" s="25">
        <v>62</v>
      </c>
      <c r="D58" s="26">
        <v>13</v>
      </c>
      <c r="E58" s="26"/>
      <c r="F58" s="26"/>
      <c r="G58" s="26"/>
    </row>
    <row r="59" spans="1:7" x14ac:dyDescent="0.25">
      <c r="A59" s="5">
        <v>43868.01666666667</v>
      </c>
      <c r="B59" s="25">
        <v>-2.4085066318511963</v>
      </c>
      <c r="C59" s="25">
        <v>62.5</v>
      </c>
      <c r="D59" s="26">
        <v>13</v>
      </c>
      <c r="E59" s="26"/>
      <c r="F59" s="26"/>
      <c r="G59" s="26"/>
    </row>
    <row r="60" spans="1:7" x14ac:dyDescent="0.25">
      <c r="A60" s="5">
        <v>43868.018750000003</v>
      </c>
      <c r="B60" s="25">
        <v>-2.4238484639387865</v>
      </c>
      <c r="C60" s="26">
        <v>62.5</v>
      </c>
      <c r="D60" s="26">
        <v>13</v>
      </c>
      <c r="E60" s="26"/>
      <c r="F60" s="26"/>
      <c r="G60" s="26"/>
    </row>
    <row r="61" spans="1:7" x14ac:dyDescent="0.25">
      <c r="A61" s="5">
        <v>43868.020833333336</v>
      </c>
      <c r="B61" s="25">
        <v>-2.4091689586639404</v>
      </c>
      <c r="C61" s="26">
        <v>62.5</v>
      </c>
      <c r="D61" s="26">
        <v>13</v>
      </c>
      <c r="E61" s="26"/>
      <c r="F61" s="26"/>
      <c r="G61" s="26"/>
    </row>
    <row r="62" spans="1:7" x14ac:dyDescent="0.25">
      <c r="A62" s="5">
        <v>43868.022916666669</v>
      </c>
      <c r="B62" s="25">
        <v>-2.4237931370735168</v>
      </c>
      <c r="C62" s="26">
        <v>62.5</v>
      </c>
      <c r="D62" s="26">
        <v>13</v>
      </c>
      <c r="E62" s="26"/>
      <c r="F62" s="26"/>
      <c r="G62" s="26"/>
    </row>
    <row r="63" spans="1:7" x14ac:dyDescent="0.25">
      <c r="A63" s="5">
        <v>43868.025000000001</v>
      </c>
      <c r="B63" s="25">
        <v>-2.4075600259444294</v>
      </c>
      <c r="C63" s="25">
        <v>63</v>
      </c>
      <c r="D63" s="26">
        <v>13</v>
      </c>
      <c r="E63" s="26"/>
      <c r="F63" s="26"/>
      <c r="G63" s="26"/>
    </row>
    <row r="64" spans="1:7" x14ac:dyDescent="0.25">
      <c r="A64" s="5">
        <v>43868.027083333334</v>
      </c>
      <c r="B64" s="25">
        <v>-2.4163152217864989</v>
      </c>
      <c r="C64" s="25">
        <v>63.5</v>
      </c>
      <c r="D64" s="25">
        <v>12.5</v>
      </c>
      <c r="E64" s="26"/>
      <c r="F64" s="26"/>
      <c r="G64" s="26"/>
    </row>
    <row r="65" spans="1:7" x14ac:dyDescent="0.25">
      <c r="A65" s="5">
        <v>43868.029166666667</v>
      </c>
      <c r="B65" s="25">
        <v>-2.4209404316815464</v>
      </c>
      <c r="C65" s="26">
        <v>63.5</v>
      </c>
      <c r="D65" s="26">
        <v>12.5</v>
      </c>
      <c r="E65" s="26"/>
      <c r="F65" s="26"/>
      <c r="G65" s="26"/>
    </row>
    <row r="66" spans="1:7" x14ac:dyDescent="0.25">
      <c r="A66" s="5">
        <v>43868.03125</v>
      </c>
      <c r="B66" s="25">
        <v>-2.4211955308914184</v>
      </c>
      <c r="C66" s="26">
        <v>63.5</v>
      </c>
      <c r="D66" s="26">
        <v>12.5</v>
      </c>
      <c r="E66" s="26"/>
      <c r="F66" s="26"/>
      <c r="G66" s="26"/>
    </row>
    <row r="67" spans="1:7" x14ac:dyDescent="0.25">
      <c r="A67" s="5">
        <v>43868.033333333333</v>
      </c>
      <c r="B67" s="25">
        <v>-2.4316490037100658</v>
      </c>
      <c r="C67" s="26">
        <v>63.5</v>
      </c>
      <c r="D67" s="26">
        <v>12.5</v>
      </c>
      <c r="E67" s="26"/>
      <c r="F67" s="26"/>
      <c r="G67" s="26"/>
    </row>
    <row r="68" spans="1:7" x14ac:dyDescent="0.25">
      <c r="A68" s="5">
        <v>43868.035416666666</v>
      </c>
      <c r="B68" s="25">
        <v>-2.428915524482727</v>
      </c>
      <c r="C68" s="25">
        <v>64</v>
      </c>
      <c r="D68" s="26">
        <v>12.5</v>
      </c>
      <c r="E68" s="26"/>
      <c r="F68" s="26"/>
      <c r="G68" s="26"/>
    </row>
    <row r="69" spans="1:7" x14ac:dyDescent="0.25">
      <c r="A69" s="5">
        <v>43868.037499999999</v>
      </c>
      <c r="B69" s="25">
        <v>-2.4264689922332763</v>
      </c>
      <c r="C69" s="26">
        <v>64</v>
      </c>
      <c r="D69" s="26">
        <v>12.5</v>
      </c>
      <c r="E69" s="26"/>
      <c r="F69" s="26"/>
      <c r="G69" s="26"/>
    </row>
    <row r="70" spans="1:7" x14ac:dyDescent="0.25">
      <c r="A70" s="5">
        <v>43868.039583333331</v>
      </c>
      <c r="B70" s="25">
        <v>-2.41781085729599</v>
      </c>
      <c r="C70" s="26">
        <v>64</v>
      </c>
      <c r="D70" s="26">
        <v>12.5</v>
      </c>
      <c r="E70" s="26"/>
      <c r="F70" s="26"/>
      <c r="G70" s="26"/>
    </row>
    <row r="71" spans="1:7" x14ac:dyDescent="0.25">
      <c r="A71" s="5">
        <v>43868.041666666664</v>
      </c>
      <c r="B71" s="25">
        <v>-2.4240589312144687</v>
      </c>
      <c r="C71" s="25">
        <v>64.5</v>
      </c>
      <c r="D71" s="26">
        <v>12.5</v>
      </c>
      <c r="E71" s="26"/>
      <c r="F71" s="26"/>
      <c r="G71" s="26"/>
    </row>
    <row r="72" spans="1:7" x14ac:dyDescent="0.25">
      <c r="A72" s="5">
        <v>43868.043749999997</v>
      </c>
      <c r="B72" s="25">
        <v>-2.4207164096832274</v>
      </c>
      <c r="C72" s="26">
        <v>64.5</v>
      </c>
      <c r="D72" s="26">
        <v>12.5</v>
      </c>
      <c r="E72" s="26"/>
      <c r="F72" s="26"/>
      <c r="G72" s="26"/>
    </row>
    <row r="73" spans="1:7" x14ac:dyDescent="0.25">
      <c r="A73" s="5">
        <v>43868.04583333333</v>
      </c>
      <c r="B73" s="25">
        <v>-2.4185933385576521</v>
      </c>
      <c r="C73" s="25">
        <v>65</v>
      </c>
      <c r="D73" s="26">
        <v>12.5</v>
      </c>
      <c r="E73" s="26"/>
      <c r="F73" s="26"/>
      <c r="G73" s="26"/>
    </row>
    <row r="74" spans="1:7" x14ac:dyDescent="0.25">
      <c r="A74" s="5">
        <v>43868.04791666667</v>
      </c>
      <c r="B74" s="25">
        <v>-2.4084682324353386</v>
      </c>
      <c r="C74" s="26">
        <v>65</v>
      </c>
      <c r="D74" s="26">
        <v>12.5</v>
      </c>
      <c r="E74" s="26"/>
      <c r="F74" s="26"/>
      <c r="G74" s="26"/>
    </row>
    <row r="75" spans="1:7" x14ac:dyDescent="0.25">
      <c r="A75" s="5">
        <v>43868.05</v>
      </c>
      <c r="B75" s="25">
        <v>-2.4249424338340759</v>
      </c>
      <c r="C75" s="26">
        <v>65</v>
      </c>
      <c r="D75" s="26">
        <v>12.5</v>
      </c>
      <c r="E75" s="26"/>
      <c r="F75" s="26"/>
      <c r="G75" s="26"/>
    </row>
    <row r="76" spans="1:7" x14ac:dyDescent="0.25">
      <c r="A76" s="5">
        <v>43868.052083333336</v>
      </c>
      <c r="B76" s="25">
        <v>-2.399608850479126</v>
      </c>
      <c r="C76" s="25">
        <v>65.5</v>
      </c>
      <c r="D76" s="26">
        <v>12.5</v>
      </c>
      <c r="E76" s="26"/>
      <c r="F76" s="26"/>
      <c r="G76" s="26"/>
    </row>
    <row r="77" spans="1:7" x14ac:dyDescent="0.25">
      <c r="A77" s="5">
        <v>43868.054166666669</v>
      </c>
      <c r="B77" s="25">
        <v>-2.4187272245233711</v>
      </c>
      <c r="C77" s="26">
        <v>65.5</v>
      </c>
      <c r="D77" s="26">
        <v>12.5</v>
      </c>
      <c r="E77" s="26"/>
      <c r="F77" s="26"/>
      <c r="G77" s="26"/>
    </row>
    <row r="78" spans="1:7" x14ac:dyDescent="0.25">
      <c r="A78" s="5">
        <v>43868.056250000001</v>
      </c>
      <c r="B78" s="25">
        <v>-2.40615307367765</v>
      </c>
      <c r="C78" s="26">
        <v>65.5</v>
      </c>
      <c r="D78" s="26">
        <v>12.5</v>
      </c>
      <c r="E78" s="26"/>
      <c r="F78" s="26"/>
      <c r="G78" s="26"/>
    </row>
    <row r="79" spans="1:7" x14ac:dyDescent="0.25">
      <c r="A79" s="5">
        <v>43868.058333333334</v>
      </c>
      <c r="B79" s="25">
        <v>-2.4049167156219484</v>
      </c>
      <c r="C79" s="26">
        <v>65.5</v>
      </c>
      <c r="D79" s="26">
        <v>12.5</v>
      </c>
      <c r="E79" s="26"/>
      <c r="F79" s="26"/>
      <c r="G79" s="26"/>
    </row>
    <row r="80" spans="1:7" x14ac:dyDescent="0.25">
      <c r="A80" s="5">
        <v>43868.060416666667</v>
      </c>
      <c r="B80" s="25">
        <v>-2.3966431067540097</v>
      </c>
      <c r="C80" s="25">
        <v>66</v>
      </c>
      <c r="D80" s="26">
        <v>12.5</v>
      </c>
      <c r="E80" s="26"/>
      <c r="F80" s="26"/>
      <c r="G80" s="26"/>
    </row>
    <row r="81" spans="1:7" x14ac:dyDescent="0.25">
      <c r="A81" s="5">
        <v>43868.0625</v>
      </c>
      <c r="B81" s="25">
        <v>-2.412657062212626</v>
      </c>
      <c r="C81" s="25">
        <v>66.5</v>
      </c>
      <c r="D81" s="26">
        <v>12.5</v>
      </c>
      <c r="E81" s="26"/>
      <c r="F81" s="26"/>
      <c r="G81" s="26"/>
    </row>
    <row r="82" spans="1:7" x14ac:dyDescent="0.25">
      <c r="A82" s="5">
        <v>43868.064583333333</v>
      </c>
      <c r="B82" s="25">
        <v>-2.4105147747766402</v>
      </c>
      <c r="C82" s="26">
        <v>66.5</v>
      </c>
      <c r="D82" s="26">
        <v>12.5</v>
      </c>
      <c r="E82" s="26"/>
      <c r="F82" s="26"/>
      <c r="G82" s="26"/>
    </row>
    <row r="83" spans="1:7" x14ac:dyDescent="0.25">
      <c r="A83" s="5">
        <v>43868.066666666666</v>
      </c>
      <c r="B83" s="25">
        <v>-2.4184891093860972</v>
      </c>
      <c r="C83" s="26">
        <v>66.5</v>
      </c>
      <c r="D83" s="26">
        <v>12.5</v>
      </c>
      <c r="E83" s="26"/>
      <c r="F83" s="26"/>
      <c r="G83" s="26"/>
    </row>
    <row r="84" spans="1:7" x14ac:dyDescent="0.25">
      <c r="A84" s="5">
        <v>43868.068749999999</v>
      </c>
      <c r="B84" s="25">
        <v>-2.4086822138892279</v>
      </c>
      <c r="C84" s="26">
        <v>66.5</v>
      </c>
      <c r="D84" s="26">
        <v>12.5</v>
      </c>
      <c r="E84" s="26"/>
      <c r="F84" s="26"/>
      <c r="G84" s="26"/>
    </row>
    <row r="85" spans="1:7" x14ac:dyDescent="0.25">
      <c r="A85" s="5">
        <v>43868.070833333331</v>
      </c>
      <c r="B85" s="25">
        <v>-2.4156338033222018</v>
      </c>
      <c r="C85" s="25">
        <v>67</v>
      </c>
      <c r="D85" s="26">
        <v>12.5</v>
      </c>
      <c r="E85" s="26"/>
      <c r="F85" s="26"/>
      <c r="G85" s="26"/>
    </row>
    <row r="86" spans="1:7" x14ac:dyDescent="0.25">
      <c r="A86" s="5">
        <v>43868.072916666664</v>
      </c>
      <c r="B86" s="25">
        <v>-2.4150016212463381</v>
      </c>
      <c r="C86" s="26">
        <v>67</v>
      </c>
      <c r="D86" s="26">
        <v>12.5</v>
      </c>
      <c r="E86" s="26"/>
      <c r="F86" s="26"/>
      <c r="G86" s="26"/>
    </row>
    <row r="87" spans="1:7" x14ac:dyDescent="0.25">
      <c r="A87" s="5">
        <v>43868.074999999997</v>
      </c>
      <c r="B87" s="25">
        <v>-2.4160959601402281</v>
      </c>
      <c r="C87" s="26">
        <v>67</v>
      </c>
      <c r="D87" s="26">
        <v>12.5</v>
      </c>
      <c r="E87" s="26"/>
      <c r="F87" s="26"/>
      <c r="G87" s="26"/>
    </row>
    <row r="88" spans="1:7" x14ac:dyDescent="0.25">
      <c r="A88" s="5">
        <v>43868.07708333333</v>
      </c>
      <c r="B88" s="25">
        <v>-2.4172117710113525</v>
      </c>
      <c r="C88" s="25">
        <v>67.5</v>
      </c>
      <c r="D88" s="25">
        <v>12</v>
      </c>
      <c r="E88" s="26"/>
      <c r="F88" s="26"/>
      <c r="G88" s="26"/>
    </row>
    <row r="89" spans="1:7" x14ac:dyDescent="0.25">
      <c r="A89" s="5">
        <v>43868.07916666667</v>
      </c>
      <c r="B89" s="25">
        <v>-2.4210307598114014</v>
      </c>
      <c r="C89" s="26">
        <v>67.5</v>
      </c>
      <c r="D89" s="26">
        <v>12</v>
      </c>
      <c r="E89" s="26"/>
      <c r="F89" s="26"/>
      <c r="G89" s="26"/>
    </row>
    <row r="90" spans="1:7" x14ac:dyDescent="0.25">
      <c r="A90" s="5">
        <v>43868.081250000003</v>
      </c>
      <c r="B90" s="25">
        <v>-2.4242462664842606</v>
      </c>
      <c r="C90" s="25">
        <v>68</v>
      </c>
      <c r="D90" s="26">
        <v>12</v>
      </c>
      <c r="E90" s="26"/>
      <c r="F90" s="26"/>
      <c r="G90" s="26"/>
    </row>
    <row r="91" spans="1:7" x14ac:dyDescent="0.25">
      <c r="A91" s="5">
        <v>43868.083333333336</v>
      </c>
      <c r="B91" s="26">
        <v>-2.4242462664842606</v>
      </c>
      <c r="C91" s="26">
        <v>68</v>
      </c>
      <c r="D91" s="26">
        <v>12</v>
      </c>
      <c r="E91" s="26"/>
      <c r="F91" s="26"/>
      <c r="G91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 moveWithCells="1" sizeWithCells="1">
                  <from>
                    <xdr:col>0</xdr:col>
                    <xdr:colOff>962025</xdr:colOff>
                    <xdr:row>0</xdr:row>
                    <xdr:rowOff>95250</xdr:rowOff>
                  </from>
                  <to>
                    <xdr:col>1</xdr:col>
                    <xdr:colOff>552450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V403"/>
  <sheetViews>
    <sheetView workbookViewId="0">
      <selection activeCell="E4" sqref="E4"/>
    </sheetView>
  </sheetViews>
  <sheetFormatPr baseColWidth="10" defaultRowHeight="15" x14ac:dyDescent="0.25"/>
  <cols>
    <col min="1" max="1" width="17.85546875" style="5" bestFit="1" customWidth="1"/>
    <col min="2" max="2" width="19.28515625" style="23" customWidth="1"/>
    <col min="3" max="22" width="10.7109375" style="23" customWidth="1"/>
  </cols>
  <sheetData>
    <row r="1" spans="1:22" x14ac:dyDescent="0.25">
      <c r="A1" s="4"/>
    </row>
    <row r="2" spans="1:22" x14ac:dyDescent="0.25">
      <c r="A2" s="4"/>
    </row>
    <row r="3" spans="1:22" x14ac:dyDescent="0.25">
      <c r="A3" s="8" t="s">
        <v>5</v>
      </c>
      <c r="B3" s="3">
        <v>43867.666666666664</v>
      </c>
    </row>
    <row r="4" spans="1:22" x14ac:dyDescent="0.25">
      <c r="A4" s="8" t="s">
        <v>6</v>
      </c>
      <c r="B4" s="3">
        <v>43868.208333333336</v>
      </c>
    </row>
    <row r="5" spans="1:22" x14ac:dyDescent="0.25">
      <c r="A5" s="8" t="s">
        <v>43</v>
      </c>
      <c r="B5" s="27">
        <f>3600/4</f>
        <v>900</v>
      </c>
    </row>
    <row r="6" spans="1:22" x14ac:dyDescent="0.25">
      <c r="A6" s="22" t="s">
        <v>47</v>
      </c>
      <c r="B6" s="28">
        <f>(B4-B3)*(86400/B5)</f>
        <v>52.000000000465661</v>
      </c>
    </row>
    <row r="7" spans="1:22" x14ac:dyDescent="0.25">
      <c r="A7" s="29">
        <v>43868.072916666664</v>
      </c>
      <c r="B7" s="24" t="s">
        <v>44</v>
      </c>
    </row>
    <row r="8" spans="1:22" x14ac:dyDescent="0.25">
      <c r="A8" s="28">
        <v>63</v>
      </c>
      <c r="B8" s="24" t="s">
        <v>45</v>
      </c>
    </row>
    <row r="9" spans="1:22" s="35" customFormat="1" ht="88.5" customHeight="1" x14ac:dyDescent="0.2">
      <c r="B9" s="35" t="s">
        <v>52</v>
      </c>
      <c r="C9" s="35" t="s">
        <v>53</v>
      </c>
      <c r="D9" s="35" t="s">
        <v>54</v>
      </c>
      <c r="E9" s="35" t="s">
        <v>55</v>
      </c>
      <c r="F9" s="35" t="s">
        <v>56</v>
      </c>
      <c r="G9" s="36" t="s">
        <v>57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s="33" customFormat="1" ht="69" customHeight="1" x14ac:dyDescent="0.25">
      <c r="A10" s="30" t="s">
        <v>51</v>
      </c>
      <c r="B10" s="31" t="s">
        <v>23</v>
      </c>
      <c r="C10" s="31" t="s">
        <v>24</v>
      </c>
      <c r="D10" s="31" t="s">
        <v>25</v>
      </c>
      <c r="E10" s="31" t="s">
        <v>26</v>
      </c>
      <c r="F10" s="31" t="s">
        <v>27</v>
      </c>
      <c r="G10" s="31" t="s">
        <v>30</v>
      </c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</row>
    <row r="11" spans="1:22" x14ac:dyDescent="0.25">
      <c r="A11" s="5">
        <v>43867.666666666664</v>
      </c>
      <c r="B11" s="26">
        <v>0</v>
      </c>
      <c r="C11" s="26">
        <v>0</v>
      </c>
      <c r="D11" s="26">
        <v>0</v>
      </c>
      <c r="E11" s="26">
        <v>0</v>
      </c>
      <c r="F11" s="26">
        <v>0</v>
      </c>
      <c r="G11" s="26">
        <v>0</v>
      </c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</row>
    <row r="12" spans="1:22" x14ac:dyDescent="0.25">
      <c r="A12" s="5">
        <v>43867.677083333336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A13" s="5">
        <v>43867.6875</v>
      </c>
      <c r="B13" s="26">
        <v>0</v>
      </c>
      <c r="C13" s="26">
        <v>0</v>
      </c>
      <c r="D13" s="26">
        <v>0</v>
      </c>
      <c r="E13" s="26">
        <v>0</v>
      </c>
      <c r="F13" s="26">
        <v>0</v>
      </c>
      <c r="G13" s="26"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  <row r="14" spans="1:22" x14ac:dyDescent="0.25">
      <c r="A14" s="5">
        <v>43867.697916666664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</row>
    <row r="15" spans="1:22" x14ac:dyDescent="0.25">
      <c r="A15" s="5">
        <v>43867.708333333336</v>
      </c>
      <c r="B15" s="26">
        <v>0</v>
      </c>
      <c r="C15" s="26">
        <v>0</v>
      </c>
      <c r="D15" s="26">
        <v>0</v>
      </c>
      <c r="E15" s="26">
        <v>0</v>
      </c>
      <c r="F15" s="26">
        <v>0</v>
      </c>
      <c r="G15" s="26"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</row>
    <row r="16" spans="1:22" x14ac:dyDescent="0.25">
      <c r="A16" s="5">
        <v>43867.71875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</row>
    <row r="17" spans="1:22" x14ac:dyDescent="0.25">
      <c r="A17" s="5">
        <v>43867.729166666664</v>
      </c>
      <c r="B17" s="26">
        <v>0</v>
      </c>
      <c r="C17" s="26">
        <v>0</v>
      </c>
      <c r="D17" s="26">
        <v>0</v>
      </c>
      <c r="E17" s="26">
        <v>0</v>
      </c>
      <c r="F17" s="26">
        <v>0</v>
      </c>
      <c r="G17" s="26"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25">
      <c r="A18" s="5">
        <v>43867.739583333336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</row>
    <row r="19" spans="1:22" x14ac:dyDescent="0.25">
      <c r="A19" s="5">
        <v>43867.75</v>
      </c>
      <c r="B19" s="25">
        <v>4.322420067257351</v>
      </c>
      <c r="C19" s="25">
        <v>13</v>
      </c>
      <c r="D19" s="25">
        <v>13</v>
      </c>
      <c r="E19" s="25">
        <v>13</v>
      </c>
      <c r="F19" s="25">
        <v>13</v>
      </c>
      <c r="G19" s="25">
        <v>16.5</v>
      </c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x14ac:dyDescent="0.25">
      <c r="A20" s="5">
        <v>43867.760416666664</v>
      </c>
      <c r="B20" s="25">
        <v>12.097935542685999</v>
      </c>
      <c r="C20" s="26">
        <v>13</v>
      </c>
      <c r="D20" s="26">
        <v>13</v>
      </c>
      <c r="E20" s="26">
        <v>13</v>
      </c>
      <c r="F20" s="26">
        <v>13</v>
      </c>
      <c r="G20" s="26">
        <v>22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</row>
    <row r="21" spans="1:22" x14ac:dyDescent="0.25">
      <c r="A21" s="5">
        <v>43867.770833333336</v>
      </c>
      <c r="B21" s="25">
        <v>36.476003763943737</v>
      </c>
      <c r="C21" s="25">
        <v>14.5</v>
      </c>
      <c r="D21" s="25">
        <v>14.5</v>
      </c>
      <c r="E21" s="25">
        <v>15</v>
      </c>
      <c r="F21" s="25">
        <v>14.5</v>
      </c>
      <c r="G21" s="25">
        <v>25.25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x14ac:dyDescent="0.25">
      <c r="A22" s="5">
        <v>43867.78125</v>
      </c>
      <c r="B22" s="25">
        <v>11.186837135217129</v>
      </c>
      <c r="C22" s="25">
        <v>17.5</v>
      </c>
      <c r="D22" s="25">
        <v>17</v>
      </c>
      <c r="E22" s="25">
        <v>18</v>
      </c>
      <c r="F22" s="25">
        <v>17</v>
      </c>
      <c r="G22" s="25">
        <v>31.75</v>
      </c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x14ac:dyDescent="0.25">
      <c r="A23" s="5">
        <v>43867.791666666664</v>
      </c>
      <c r="B23" s="25">
        <v>-2.4182684785537139</v>
      </c>
      <c r="C23" s="26">
        <v>17.5</v>
      </c>
      <c r="D23" s="25">
        <v>17</v>
      </c>
      <c r="E23" s="25">
        <v>18</v>
      </c>
      <c r="F23" s="26">
        <v>17</v>
      </c>
      <c r="G23" s="26">
        <v>33.833333333333336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</row>
    <row r="24" spans="1:22" x14ac:dyDescent="0.25">
      <c r="A24" s="5">
        <v>43867.802083333336</v>
      </c>
      <c r="B24" s="25">
        <v>-2.4154733668926149</v>
      </c>
      <c r="C24" s="25">
        <v>17</v>
      </c>
      <c r="D24" s="26">
        <v>17</v>
      </c>
      <c r="E24" s="26">
        <v>18</v>
      </c>
      <c r="F24" s="25">
        <v>17</v>
      </c>
      <c r="G24" s="25">
        <v>30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x14ac:dyDescent="0.25">
      <c r="A25" s="5">
        <v>43867.8125</v>
      </c>
      <c r="B25" s="25">
        <v>-2.3915247794909353</v>
      </c>
      <c r="C25" s="26">
        <v>17</v>
      </c>
      <c r="D25" s="26">
        <v>17</v>
      </c>
      <c r="E25" s="26">
        <v>18</v>
      </c>
      <c r="F25" s="26">
        <v>17</v>
      </c>
      <c r="G25" s="26">
        <v>27.666666666666668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</row>
    <row r="26" spans="1:22" x14ac:dyDescent="0.25">
      <c r="A26" s="5">
        <v>43867.822916666664</v>
      </c>
      <c r="B26" s="25">
        <v>-2.3922770800215476</v>
      </c>
      <c r="C26" s="25">
        <v>16</v>
      </c>
      <c r="D26" s="25">
        <v>16</v>
      </c>
      <c r="E26" s="26">
        <v>18</v>
      </c>
      <c r="F26" s="26">
        <v>17</v>
      </c>
      <c r="G26" s="26">
        <v>25.5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</row>
    <row r="27" spans="1:22" x14ac:dyDescent="0.25">
      <c r="A27" s="5">
        <v>43867.833333333336</v>
      </c>
      <c r="B27" s="25">
        <v>-2.3967219390700349</v>
      </c>
      <c r="C27" s="26">
        <v>16</v>
      </c>
      <c r="D27" s="26">
        <v>16</v>
      </c>
      <c r="E27" s="26">
        <v>18</v>
      </c>
      <c r="F27" s="25">
        <v>16</v>
      </c>
      <c r="G27" s="25">
        <v>23.5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x14ac:dyDescent="0.25">
      <c r="A28" s="5">
        <v>43867.84375</v>
      </c>
      <c r="B28" s="25">
        <v>-2.3925461416894738</v>
      </c>
      <c r="C28" s="26">
        <v>16</v>
      </c>
      <c r="D28" s="26">
        <v>16</v>
      </c>
      <c r="E28" s="26">
        <v>18</v>
      </c>
      <c r="F28" s="26">
        <v>16</v>
      </c>
      <c r="G28" s="26">
        <v>22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</row>
    <row r="29" spans="1:22" x14ac:dyDescent="0.25">
      <c r="A29" s="5">
        <v>43867.854166666664</v>
      </c>
      <c r="B29" s="25">
        <v>-2.3994997125683408</v>
      </c>
      <c r="C29" s="26">
        <v>16</v>
      </c>
      <c r="D29" s="26">
        <v>16</v>
      </c>
      <c r="E29" s="26">
        <v>18</v>
      </c>
      <c r="F29" s="26">
        <v>16</v>
      </c>
      <c r="G29" s="26">
        <v>20.75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1:22" x14ac:dyDescent="0.25">
      <c r="A30" s="5">
        <v>43867.864583333336</v>
      </c>
      <c r="B30" s="25">
        <v>-2.4034974857380518</v>
      </c>
      <c r="C30" s="25">
        <v>15</v>
      </c>
      <c r="D30" s="25">
        <v>15</v>
      </c>
      <c r="E30" s="26">
        <v>18</v>
      </c>
      <c r="F30" s="26">
        <v>16</v>
      </c>
      <c r="G30" s="26">
        <v>19.75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1:22" x14ac:dyDescent="0.25">
      <c r="A31" s="5">
        <v>43867.875</v>
      </c>
      <c r="B31" s="25">
        <v>-2.3896402517954507</v>
      </c>
      <c r="C31" s="26">
        <v>15</v>
      </c>
      <c r="D31" s="26">
        <v>15</v>
      </c>
      <c r="E31" s="26">
        <v>18</v>
      </c>
      <c r="F31" s="25">
        <v>15</v>
      </c>
      <c r="G31" s="25">
        <v>18.75</v>
      </c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x14ac:dyDescent="0.25">
      <c r="A32" s="5">
        <v>43867.885416666664</v>
      </c>
      <c r="B32" s="25">
        <v>-2.3947308737298716</v>
      </c>
      <c r="C32" s="26">
        <v>15</v>
      </c>
      <c r="D32" s="26">
        <v>15</v>
      </c>
      <c r="E32" s="26">
        <v>18</v>
      </c>
      <c r="F32" s="26">
        <v>15</v>
      </c>
      <c r="G32" s="26">
        <v>18</v>
      </c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</row>
    <row r="33" spans="1:22" x14ac:dyDescent="0.25">
      <c r="A33" s="5">
        <v>43867.895833333336</v>
      </c>
      <c r="B33" s="25">
        <v>-2.4004859228928885</v>
      </c>
      <c r="C33" s="26">
        <v>15</v>
      </c>
      <c r="D33" s="26">
        <v>15</v>
      </c>
      <c r="E33" s="26">
        <v>18</v>
      </c>
      <c r="F33" s="26">
        <v>15</v>
      </c>
      <c r="G33" s="26">
        <v>17.25</v>
      </c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1:22" x14ac:dyDescent="0.25">
      <c r="A34" s="5">
        <v>43867.90625</v>
      </c>
      <c r="B34" s="25">
        <v>-2.3983725976943968</v>
      </c>
      <c r="C34" s="25">
        <v>14</v>
      </c>
      <c r="D34" s="26">
        <v>15</v>
      </c>
      <c r="E34" s="25">
        <v>17</v>
      </c>
      <c r="F34" s="26">
        <v>15</v>
      </c>
      <c r="G34" s="26">
        <v>16.5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</row>
    <row r="35" spans="1:22" x14ac:dyDescent="0.25">
      <c r="A35" s="5">
        <v>43867.916666666664</v>
      </c>
      <c r="B35" s="25">
        <v>-2.4064104216439381</v>
      </c>
      <c r="C35" s="26">
        <v>14</v>
      </c>
      <c r="D35" s="25">
        <v>14</v>
      </c>
      <c r="E35" s="26">
        <v>17</v>
      </c>
      <c r="F35" s="25">
        <v>14</v>
      </c>
      <c r="G35" s="25">
        <v>16</v>
      </c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x14ac:dyDescent="0.25">
      <c r="A36" s="5">
        <v>43867.927083333336</v>
      </c>
      <c r="B36" s="25">
        <v>-2.4094520400870931</v>
      </c>
      <c r="C36" s="26">
        <v>14</v>
      </c>
      <c r="D36" s="26">
        <v>14</v>
      </c>
      <c r="E36" s="26">
        <v>17</v>
      </c>
      <c r="F36" s="26">
        <v>14</v>
      </c>
      <c r="G36" s="26">
        <v>15.5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</row>
    <row r="37" spans="1:22" x14ac:dyDescent="0.25">
      <c r="A37" s="5">
        <v>43867.9375</v>
      </c>
      <c r="B37" s="25">
        <v>-2.4126271719884391</v>
      </c>
      <c r="C37" s="26">
        <v>14</v>
      </c>
      <c r="D37" s="26">
        <v>14</v>
      </c>
      <c r="E37" s="26">
        <v>17</v>
      </c>
      <c r="F37" s="26">
        <v>14</v>
      </c>
      <c r="G37" s="26">
        <v>15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</row>
    <row r="38" spans="1:22" x14ac:dyDescent="0.25">
      <c r="A38" s="5">
        <v>43867.947916666664</v>
      </c>
      <c r="B38" s="25">
        <v>-2.3951674641155805</v>
      </c>
      <c r="C38" s="25">
        <v>13</v>
      </c>
      <c r="D38" s="26">
        <v>14</v>
      </c>
      <c r="E38" s="26">
        <v>17</v>
      </c>
      <c r="F38" s="26">
        <v>14</v>
      </c>
      <c r="G38" s="26">
        <v>14.5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</row>
    <row r="39" spans="1:22" x14ac:dyDescent="0.25">
      <c r="A39" s="5">
        <v>43867.958333333336</v>
      </c>
      <c r="B39" s="25">
        <v>-2.386422068619531</v>
      </c>
      <c r="C39" s="26">
        <v>13</v>
      </c>
      <c r="D39" s="25">
        <v>13</v>
      </c>
      <c r="E39" s="26">
        <v>17</v>
      </c>
      <c r="F39" s="25">
        <v>13</v>
      </c>
      <c r="G39" s="25">
        <v>14.5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x14ac:dyDescent="0.25">
      <c r="A40" s="5">
        <v>43867.96875</v>
      </c>
      <c r="B40" s="25">
        <v>-2.3894662586125461</v>
      </c>
      <c r="C40" s="26">
        <v>13</v>
      </c>
      <c r="D40" s="26">
        <v>13</v>
      </c>
      <c r="E40" s="25">
        <v>16</v>
      </c>
      <c r="F40" s="26">
        <v>13</v>
      </c>
      <c r="G40" s="26">
        <v>14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</row>
    <row r="41" spans="1:22" x14ac:dyDescent="0.25">
      <c r="A41" s="5">
        <v>43867.979166666664</v>
      </c>
      <c r="B41" s="25">
        <v>-2.3855689702574741</v>
      </c>
      <c r="C41" s="25">
        <v>12</v>
      </c>
      <c r="D41" s="26">
        <v>13</v>
      </c>
      <c r="E41" s="26">
        <v>16</v>
      </c>
      <c r="F41" s="26">
        <v>13</v>
      </c>
      <c r="G41" s="26">
        <v>13.5</v>
      </c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</row>
    <row r="42" spans="1:22" x14ac:dyDescent="0.25">
      <c r="A42" s="5">
        <v>43867.989583333336</v>
      </c>
      <c r="B42" s="25">
        <v>-2.3987519259636221</v>
      </c>
      <c r="C42" s="26">
        <v>12</v>
      </c>
      <c r="D42" s="26">
        <v>13</v>
      </c>
      <c r="E42" s="26">
        <v>16</v>
      </c>
      <c r="F42" s="26">
        <v>13</v>
      </c>
      <c r="G42" s="26">
        <v>13</v>
      </c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</row>
    <row r="43" spans="1:22" x14ac:dyDescent="0.25">
      <c r="A43" s="5">
        <v>43867</v>
      </c>
      <c r="B43" s="26">
        <v>-2.3987519259636221</v>
      </c>
      <c r="C43" s="26">
        <v>12</v>
      </c>
      <c r="D43" s="26">
        <v>13</v>
      </c>
      <c r="E43" s="26">
        <v>16</v>
      </c>
      <c r="F43" s="26">
        <v>13</v>
      </c>
      <c r="G43" s="26">
        <v>13</v>
      </c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</row>
    <row r="44" spans="1:22" x14ac:dyDescent="0.25">
      <c r="A44" s="5">
        <v>43868.010416666664</v>
      </c>
      <c r="B44" s="25">
        <v>-2.4139588243821088</v>
      </c>
      <c r="C44" s="26">
        <v>12</v>
      </c>
      <c r="D44" s="25">
        <v>12</v>
      </c>
      <c r="E44" s="26">
        <v>16</v>
      </c>
      <c r="F44" s="26">
        <v>13</v>
      </c>
      <c r="G44" s="26">
        <v>13</v>
      </c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</row>
    <row r="45" spans="1:22" x14ac:dyDescent="0.25">
      <c r="A45" s="5">
        <v>43868.020833333336</v>
      </c>
      <c r="B45" s="25">
        <v>-2.4156766756616457</v>
      </c>
      <c r="C45" s="25">
        <v>11</v>
      </c>
      <c r="D45" s="26">
        <v>12</v>
      </c>
      <c r="E45" s="25">
        <v>15</v>
      </c>
      <c r="F45" s="26">
        <v>13</v>
      </c>
      <c r="G45" s="26">
        <v>12.5</v>
      </c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</row>
    <row r="46" spans="1:22" x14ac:dyDescent="0.25">
      <c r="A46" s="5">
        <v>43868.03125</v>
      </c>
      <c r="B46" s="25">
        <v>-2.4249875295729866</v>
      </c>
      <c r="C46" s="26">
        <v>11</v>
      </c>
      <c r="D46" s="26">
        <v>12</v>
      </c>
      <c r="E46" s="26">
        <v>15</v>
      </c>
      <c r="F46" s="26">
        <v>13</v>
      </c>
      <c r="G46" s="26">
        <v>12.5</v>
      </c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</row>
    <row r="47" spans="1:22" x14ac:dyDescent="0.25">
      <c r="A47" s="5">
        <v>43868.041666666664</v>
      </c>
      <c r="B47" s="25">
        <v>-2.4196630056621959</v>
      </c>
      <c r="C47" s="26">
        <v>11</v>
      </c>
      <c r="D47" s="26">
        <v>12</v>
      </c>
      <c r="E47" s="26">
        <v>15</v>
      </c>
      <c r="F47" s="25">
        <v>11</v>
      </c>
      <c r="G47" s="25">
        <v>12.5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x14ac:dyDescent="0.25">
      <c r="A48" s="5">
        <v>43868.052083333336</v>
      </c>
      <c r="B48" s="25">
        <v>-2.4044847972151162</v>
      </c>
      <c r="C48" s="26">
        <v>11</v>
      </c>
      <c r="D48" s="25">
        <v>11</v>
      </c>
      <c r="E48" s="26">
        <v>15</v>
      </c>
      <c r="F48" s="26">
        <v>11</v>
      </c>
      <c r="G48" s="26">
        <v>12.5</v>
      </c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</row>
    <row r="49" spans="1:22" x14ac:dyDescent="0.25">
      <c r="A49" s="5">
        <v>43868.0625</v>
      </c>
      <c r="B49" s="25">
        <v>-2.4131908111794051</v>
      </c>
      <c r="C49" s="25">
        <v>10</v>
      </c>
      <c r="D49" s="26">
        <v>11</v>
      </c>
      <c r="E49" s="25">
        <v>14</v>
      </c>
      <c r="F49" s="26">
        <v>11</v>
      </c>
      <c r="G49" s="26">
        <v>12.5</v>
      </c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</row>
    <row r="50" spans="1:22" x14ac:dyDescent="0.25">
      <c r="A50" s="5">
        <v>43868.072916666664</v>
      </c>
      <c r="B50" s="25">
        <v>-2.4180704876057151</v>
      </c>
      <c r="C50" s="26">
        <v>10</v>
      </c>
      <c r="D50" s="26">
        <v>11</v>
      </c>
      <c r="E50" s="26">
        <v>14</v>
      </c>
      <c r="F50" s="26">
        <v>11</v>
      </c>
      <c r="G50" s="26">
        <v>12</v>
      </c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</row>
    <row r="51" spans="1:22" x14ac:dyDescent="0.25">
      <c r="A51" s="5">
        <v>43868.083333333336</v>
      </c>
      <c r="B51" s="25">
        <v>-2.4217355952543369</v>
      </c>
      <c r="C51" s="26">
        <v>10</v>
      </c>
      <c r="D51" s="26">
        <v>11</v>
      </c>
      <c r="E51" s="26">
        <v>14</v>
      </c>
      <c r="F51" s="26">
        <v>11</v>
      </c>
      <c r="G51" s="26">
        <v>12</v>
      </c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</row>
    <row r="52" spans="1:22" x14ac:dyDescent="0.25">
      <c r="A52" s="5">
        <v>43868.09375</v>
      </c>
      <c r="B52" s="25">
        <v>-2.4256133631656045</v>
      </c>
      <c r="C52" s="26">
        <v>10</v>
      </c>
      <c r="D52" s="26">
        <v>11</v>
      </c>
      <c r="E52" s="26">
        <v>14</v>
      </c>
      <c r="F52" s="25">
        <v>10</v>
      </c>
      <c r="G52" s="25">
        <v>12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x14ac:dyDescent="0.25">
      <c r="A53" s="5">
        <v>43868.104166666664</v>
      </c>
      <c r="B53" s="25">
        <v>-2.4210402206941084</v>
      </c>
      <c r="C53" s="25">
        <v>9.5</v>
      </c>
      <c r="D53" s="26">
        <v>11</v>
      </c>
      <c r="E53" s="25">
        <v>13</v>
      </c>
      <c r="F53" s="26">
        <v>10</v>
      </c>
      <c r="G53" s="26">
        <v>12</v>
      </c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</row>
    <row r="54" spans="1:22" x14ac:dyDescent="0.25">
      <c r="A54" s="5">
        <v>43868.114583333336</v>
      </c>
      <c r="B54" s="25">
        <v>-2.4246036931088097</v>
      </c>
      <c r="C54" s="25">
        <v>9</v>
      </c>
      <c r="D54" s="25">
        <v>10</v>
      </c>
      <c r="E54" s="26">
        <v>13</v>
      </c>
      <c r="F54" s="26">
        <v>10</v>
      </c>
      <c r="G54" s="26">
        <v>12</v>
      </c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</row>
    <row r="55" spans="1:22" x14ac:dyDescent="0.25">
      <c r="A55" s="5">
        <v>43868.125</v>
      </c>
      <c r="B55" s="25">
        <v>-2.4115263756285321</v>
      </c>
      <c r="C55" s="26">
        <v>9</v>
      </c>
      <c r="D55" s="26">
        <v>10</v>
      </c>
      <c r="E55" s="26">
        <v>13</v>
      </c>
      <c r="F55" s="26">
        <v>10</v>
      </c>
      <c r="G55" s="26">
        <v>12</v>
      </c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</row>
    <row r="56" spans="1:22" x14ac:dyDescent="0.25">
      <c r="A56" s="5">
        <v>43868.135416666664</v>
      </c>
      <c r="B56" s="25">
        <v>-2.4273632532590397</v>
      </c>
      <c r="C56" s="26">
        <v>9</v>
      </c>
      <c r="D56" s="26">
        <v>10</v>
      </c>
      <c r="E56" s="26">
        <v>13</v>
      </c>
      <c r="F56" s="26">
        <v>10</v>
      </c>
      <c r="G56" s="26">
        <v>12</v>
      </c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</row>
    <row r="57" spans="1:22" x14ac:dyDescent="0.25">
      <c r="A57" s="5">
        <v>43868.145833333336</v>
      </c>
      <c r="B57" s="25">
        <v>-2.4148817857106528</v>
      </c>
      <c r="C57" s="26">
        <v>9</v>
      </c>
      <c r="D57" s="26">
        <v>10</v>
      </c>
      <c r="E57" s="26">
        <v>13</v>
      </c>
      <c r="F57" s="26">
        <v>10</v>
      </c>
      <c r="G57" s="26">
        <v>12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</row>
    <row r="58" spans="1:22" x14ac:dyDescent="0.25">
      <c r="A58" s="5">
        <v>43868.15625</v>
      </c>
      <c r="B58" s="25">
        <v>-2.4041516038606749</v>
      </c>
      <c r="C58" s="26">
        <v>9</v>
      </c>
      <c r="D58" s="26">
        <v>10</v>
      </c>
      <c r="E58" s="25">
        <v>12</v>
      </c>
      <c r="F58" s="26">
        <v>10</v>
      </c>
      <c r="G58" s="26">
        <v>12</v>
      </c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</row>
    <row r="59" spans="1:22" x14ac:dyDescent="0.25">
      <c r="A59" s="5">
        <v>43868.166666666664</v>
      </c>
      <c r="B59" s="25">
        <v>-2.3968202975189801</v>
      </c>
      <c r="C59" s="25">
        <v>8</v>
      </c>
      <c r="D59" s="26">
        <v>10</v>
      </c>
      <c r="E59" s="26">
        <v>12</v>
      </c>
      <c r="F59" s="25">
        <v>9</v>
      </c>
      <c r="G59" s="25">
        <v>12</v>
      </c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x14ac:dyDescent="0.25">
      <c r="A60" s="5">
        <v>43868.177083333336</v>
      </c>
      <c r="B60" s="25">
        <v>-2.4007384016893911</v>
      </c>
      <c r="C60" s="26">
        <v>8</v>
      </c>
      <c r="D60" s="26">
        <v>10</v>
      </c>
      <c r="E60" s="26">
        <v>12</v>
      </c>
      <c r="F60" s="26">
        <v>9</v>
      </c>
      <c r="G60" s="26">
        <v>12</v>
      </c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</row>
    <row r="61" spans="1:22" x14ac:dyDescent="0.25">
      <c r="A61" s="5">
        <v>43868.1875</v>
      </c>
      <c r="B61" s="25">
        <v>-2.4015722107887267</v>
      </c>
      <c r="C61" s="26">
        <v>8</v>
      </c>
      <c r="D61" s="26">
        <v>10</v>
      </c>
      <c r="E61" s="26">
        <v>12</v>
      </c>
      <c r="F61" s="26">
        <v>9</v>
      </c>
      <c r="G61" s="26">
        <v>12</v>
      </c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</row>
    <row r="62" spans="1:22" x14ac:dyDescent="0.25">
      <c r="A62" s="5">
        <v>43868.197916666664</v>
      </c>
      <c r="B62" s="25">
        <v>-2.3843794487140797</v>
      </c>
      <c r="C62" s="26">
        <v>8</v>
      </c>
      <c r="D62" s="25">
        <v>9</v>
      </c>
      <c r="E62" s="26">
        <v>12</v>
      </c>
      <c r="F62" s="26">
        <v>9</v>
      </c>
      <c r="G62" s="26">
        <v>12</v>
      </c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</row>
    <row r="63" spans="1:22" x14ac:dyDescent="0.25">
      <c r="A63" s="5">
        <v>43868.208333333336</v>
      </c>
      <c r="B63" s="26">
        <v>-2.3843794487140797</v>
      </c>
      <c r="C63" s="26">
        <v>8</v>
      </c>
      <c r="D63" s="26">
        <v>9</v>
      </c>
      <c r="E63" s="26">
        <v>12</v>
      </c>
      <c r="F63" s="26">
        <v>9</v>
      </c>
      <c r="G63" s="26">
        <v>12</v>
      </c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</row>
    <row r="64" spans="1:22" x14ac:dyDescent="0.25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</row>
    <row r="65" spans="2:22" x14ac:dyDescent="0.25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</row>
    <row r="66" spans="2:22" x14ac:dyDescent="0.25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</row>
    <row r="67" spans="2:22" x14ac:dyDescent="0.25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</row>
    <row r="68" spans="2:22" x14ac:dyDescent="0.25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2:22" x14ac:dyDescent="0.25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</row>
    <row r="70" spans="2:22" x14ac:dyDescent="0.25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</row>
    <row r="71" spans="2:22" x14ac:dyDescent="0.25"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</row>
    <row r="72" spans="2:22" x14ac:dyDescent="0.25"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</row>
    <row r="73" spans="2:22" x14ac:dyDescent="0.25"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</row>
    <row r="74" spans="2:22" x14ac:dyDescent="0.25"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</row>
    <row r="75" spans="2:22" x14ac:dyDescent="0.25"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</row>
    <row r="76" spans="2:22" x14ac:dyDescent="0.25"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</row>
    <row r="77" spans="2:22" x14ac:dyDescent="0.25"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</row>
    <row r="78" spans="2:22" x14ac:dyDescent="0.25"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</row>
    <row r="79" spans="2:22" x14ac:dyDescent="0.25"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</row>
    <row r="80" spans="2:22" x14ac:dyDescent="0.25"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</row>
    <row r="81" spans="2:22" x14ac:dyDescent="0.25"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</row>
    <row r="82" spans="2:22" x14ac:dyDescent="0.25"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</row>
    <row r="83" spans="2:22" x14ac:dyDescent="0.25"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</row>
    <row r="84" spans="2:22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</row>
    <row r="85" spans="2:22" x14ac:dyDescent="0.25"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</row>
    <row r="86" spans="2:22" x14ac:dyDescent="0.25"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</row>
    <row r="87" spans="2:22" x14ac:dyDescent="0.25"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</row>
    <row r="88" spans="2:22" x14ac:dyDescent="0.25"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</row>
    <row r="89" spans="2:22" x14ac:dyDescent="0.25"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</row>
    <row r="90" spans="2:22" x14ac:dyDescent="0.25"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</row>
    <row r="91" spans="2:22" x14ac:dyDescent="0.25"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</row>
    <row r="92" spans="2:22" x14ac:dyDescent="0.25"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</row>
    <row r="93" spans="2:22" x14ac:dyDescent="0.25"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</row>
    <row r="94" spans="2:22" x14ac:dyDescent="0.25"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</row>
    <row r="95" spans="2:22" x14ac:dyDescent="0.25"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</row>
    <row r="96" spans="2:22" x14ac:dyDescent="0.25"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</row>
    <row r="97" spans="2:22" x14ac:dyDescent="0.25"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</row>
    <row r="98" spans="2:22" x14ac:dyDescent="0.25"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</row>
    <row r="99" spans="2:22" x14ac:dyDescent="0.25"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</row>
    <row r="100" spans="2:22" x14ac:dyDescent="0.25"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</row>
    <row r="101" spans="2:22" x14ac:dyDescent="0.25"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</row>
    <row r="102" spans="2:22" x14ac:dyDescent="0.25"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</row>
    <row r="103" spans="2:22" x14ac:dyDescent="0.25"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</row>
    <row r="104" spans="2:22" x14ac:dyDescent="0.25"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</row>
    <row r="105" spans="2:22" x14ac:dyDescent="0.25"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</row>
    <row r="106" spans="2:22" x14ac:dyDescent="0.25"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</row>
    <row r="107" spans="2:22" x14ac:dyDescent="0.25"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</row>
    <row r="108" spans="2:22" x14ac:dyDescent="0.25"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</row>
    <row r="109" spans="2:22" x14ac:dyDescent="0.25"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</row>
    <row r="110" spans="2:22" x14ac:dyDescent="0.25"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</row>
    <row r="111" spans="2:22" x14ac:dyDescent="0.25"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</row>
    <row r="112" spans="2:22" x14ac:dyDescent="0.25"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</row>
    <row r="113" spans="2:22" x14ac:dyDescent="0.25"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</row>
    <row r="114" spans="2:22" x14ac:dyDescent="0.25"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</row>
    <row r="115" spans="2:22" x14ac:dyDescent="0.25"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</row>
    <row r="116" spans="2:22" x14ac:dyDescent="0.25"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</row>
    <row r="117" spans="2:22" x14ac:dyDescent="0.25"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</row>
    <row r="118" spans="2:22" x14ac:dyDescent="0.25"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</row>
    <row r="119" spans="2:22" x14ac:dyDescent="0.25"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</row>
    <row r="120" spans="2:22" x14ac:dyDescent="0.25">
      <c r="B120" s="26"/>
      <c r="C120" s="25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</row>
    <row r="121" spans="2:22" x14ac:dyDescent="0.25"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</row>
    <row r="122" spans="2:22" x14ac:dyDescent="0.25">
      <c r="B122" s="26"/>
      <c r="C122" s="25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</row>
    <row r="123" spans="2:22" x14ac:dyDescent="0.25"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</row>
    <row r="124" spans="2:22" x14ac:dyDescent="0.25">
      <c r="B124" s="26"/>
      <c r="C124" s="25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</row>
    <row r="125" spans="2:22" x14ac:dyDescent="0.25">
      <c r="B125" s="26"/>
      <c r="C125" s="25"/>
      <c r="D125" s="25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</row>
    <row r="126" spans="2:22" x14ac:dyDescent="0.25">
      <c r="B126" s="26"/>
      <c r="C126" s="25"/>
      <c r="D126" s="25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</row>
    <row r="127" spans="2:22" x14ac:dyDescent="0.25">
      <c r="B127" s="26"/>
      <c r="C127" s="25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</row>
    <row r="128" spans="2:22" x14ac:dyDescent="0.25">
      <c r="B128" s="26"/>
      <c r="C128" s="25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</row>
    <row r="129" spans="2:22" x14ac:dyDescent="0.25">
      <c r="B129" s="26"/>
      <c r="C129" s="25"/>
      <c r="D129" s="25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</row>
    <row r="130" spans="2:22" x14ac:dyDescent="0.25">
      <c r="B130" s="26"/>
      <c r="C130" s="25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</row>
    <row r="131" spans="2:22" x14ac:dyDescent="0.25">
      <c r="B131" s="26"/>
      <c r="C131" s="25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</row>
    <row r="132" spans="2:22" x14ac:dyDescent="0.25">
      <c r="B132" s="26"/>
      <c r="C132" s="25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</row>
    <row r="133" spans="2:22" x14ac:dyDescent="0.25">
      <c r="B133" s="26"/>
      <c r="C133" s="25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</row>
    <row r="134" spans="2:22" x14ac:dyDescent="0.25">
      <c r="B134" s="26"/>
      <c r="C134" s="25"/>
      <c r="D134" s="25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</row>
    <row r="135" spans="2:22" x14ac:dyDescent="0.25">
      <c r="B135" s="26"/>
      <c r="C135" s="25"/>
      <c r="D135" s="25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</row>
    <row r="136" spans="2:22" x14ac:dyDescent="0.25">
      <c r="B136" s="26"/>
      <c r="C136" s="26"/>
      <c r="D136" s="25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</row>
    <row r="137" spans="2:22" x14ac:dyDescent="0.25"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</row>
    <row r="138" spans="2:22" x14ac:dyDescent="0.25"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</row>
    <row r="139" spans="2:22" x14ac:dyDescent="0.25"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</row>
    <row r="140" spans="2:22" x14ac:dyDescent="0.25"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</row>
    <row r="141" spans="2:22" x14ac:dyDescent="0.25"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</row>
    <row r="142" spans="2:22" x14ac:dyDescent="0.25"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</row>
    <row r="143" spans="2:22" x14ac:dyDescent="0.25"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</row>
    <row r="144" spans="2:22" x14ac:dyDescent="0.25"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</row>
    <row r="145" spans="2:22" x14ac:dyDescent="0.25"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</row>
    <row r="146" spans="2:22" x14ac:dyDescent="0.25"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</row>
    <row r="147" spans="2:22" x14ac:dyDescent="0.25"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</row>
    <row r="148" spans="2:22" x14ac:dyDescent="0.25"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</row>
    <row r="149" spans="2:22" x14ac:dyDescent="0.25"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</row>
    <row r="150" spans="2:22" x14ac:dyDescent="0.25"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</row>
    <row r="151" spans="2:22" x14ac:dyDescent="0.25"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</row>
    <row r="152" spans="2:22" x14ac:dyDescent="0.25"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</row>
    <row r="153" spans="2:22" x14ac:dyDescent="0.25"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</row>
    <row r="154" spans="2:22" x14ac:dyDescent="0.25">
      <c r="B154" s="26"/>
      <c r="C154" s="26"/>
      <c r="D154" s="26"/>
      <c r="E154" s="25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</row>
    <row r="155" spans="2:22" x14ac:dyDescent="0.25"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</row>
    <row r="156" spans="2:22" x14ac:dyDescent="0.25"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</row>
    <row r="157" spans="2:22" x14ac:dyDescent="0.25"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</row>
    <row r="158" spans="2:22" x14ac:dyDescent="0.25"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</row>
    <row r="159" spans="2:22" x14ac:dyDescent="0.25"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</row>
    <row r="160" spans="2:22" x14ac:dyDescent="0.25"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</row>
    <row r="161" spans="2:22" x14ac:dyDescent="0.25"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</row>
    <row r="162" spans="2:22" x14ac:dyDescent="0.25"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</row>
    <row r="163" spans="2:22" x14ac:dyDescent="0.25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</row>
    <row r="164" spans="2:22" x14ac:dyDescent="0.25"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</row>
    <row r="165" spans="2:22" x14ac:dyDescent="0.25"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</row>
    <row r="166" spans="2:22" x14ac:dyDescent="0.25"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</row>
    <row r="167" spans="2:22" x14ac:dyDescent="0.25"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</row>
    <row r="168" spans="2:22" x14ac:dyDescent="0.25"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</row>
    <row r="169" spans="2:22" x14ac:dyDescent="0.25"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</row>
    <row r="170" spans="2:22" x14ac:dyDescent="0.25"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</row>
    <row r="171" spans="2:22" x14ac:dyDescent="0.25"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</row>
    <row r="172" spans="2:22" x14ac:dyDescent="0.25"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</row>
    <row r="173" spans="2:22" x14ac:dyDescent="0.25"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</row>
    <row r="174" spans="2:22" x14ac:dyDescent="0.25"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</row>
    <row r="175" spans="2:22" x14ac:dyDescent="0.25"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</row>
    <row r="176" spans="2:22" x14ac:dyDescent="0.25"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</row>
    <row r="177" spans="2:22" x14ac:dyDescent="0.25"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</row>
    <row r="178" spans="2:22" x14ac:dyDescent="0.25"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</row>
    <row r="179" spans="2:22" x14ac:dyDescent="0.25"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</row>
    <row r="180" spans="2:22" x14ac:dyDescent="0.25">
      <c r="B180" s="26"/>
      <c r="C180" s="26"/>
      <c r="D180" s="26"/>
      <c r="E180" s="25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</row>
    <row r="181" spans="2:22" x14ac:dyDescent="0.25"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</row>
    <row r="182" spans="2:22" x14ac:dyDescent="0.25"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</row>
    <row r="183" spans="2:22" x14ac:dyDescent="0.25"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</row>
    <row r="184" spans="2:22" x14ac:dyDescent="0.25"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</row>
    <row r="185" spans="2:22" x14ac:dyDescent="0.25"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</row>
    <row r="186" spans="2:22" x14ac:dyDescent="0.25"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</row>
    <row r="187" spans="2:22" x14ac:dyDescent="0.25"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</row>
    <row r="188" spans="2:22" x14ac:dyDescent="0.25"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</row>
    <row r="189" spans="2:22" x14ac:dyDescent="0.25"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</row>
    <row r="190" spans="2:22" x14ac:dyDescent="0.25"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</row>
    <row r="191" spans="2:22" x14ac:dyDescent="0.25"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</row>
    <row r="192" spans="2:22" x14ac:dyDescent="0.25"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</row>
    <row r="193" spans="2:22" x14ac:dyDescent="0.25"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</row>
    <row r="194" spans="2:22" x14ac:dyDescent="0.25"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</row>
    <row r="195" spans="2:22" x14ac:dyDescent="0.25"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</row>
    <row r="196" spans="2:22" x14ac:dyDescent="0.25"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</row>
    <row r="197" spans="2:22" x14ac:dyDescent="0.25"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</row>
    <row r="198" spans="2:22" x14ac:dyDescent="0.25"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</row>
    <row r="199" spans="2:22" x14ac:dyDescent="0.25"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</row>
    <row r="200" spans="2:22" x14ac:dyDescent="0.25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</row>
    <row r="201" spans="2:22" x14ac:dyDescent="0.25"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</row>
    <row r="202" spans="2:22" x14ac:dyDescent="0.25"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</row>
    <row r="203" spans="2:22" x14ac:dyDescent="0.25"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</row>
    <row r="204" spans="2:22" x14ac:dyDescent="0.25"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</row>
    <row r="205" spans="2:22" x14ac:dyDescent="0.25"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</row>
    <row r="206" spans="2:22" x14ac:dyDescent="0.25">
      <c r="B206" s="26"/>
      <c r="C206" s="26"/>
      <c r="D206" s="26"/>
      <c r="E206" s="25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</row>
    <row r="207" spans="2:22" x14ac:dyDescent="0.25"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</row>
    <row r="208" spans="2:22" x14ac:dyDescent="0.25"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</row>
    <row r="209" spans="2:22" x14ac:dyDescent="0.25"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</row>
    <row r="210" spans="2:22" x14ac:dyDescent="0.25"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</row>
    <row r="211" spans="2:22" x14ac:dyDescent="0.25"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</row>
    <row r="212" spans="2:22" x14ac:dyDescent="0.25"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</row>
    <row r="213" spans="2:22" x14ac:dyDescent="0.25"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</row>
    <row r="214" spans="2:22" x14ac:dyDescent="0.25"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</row>
    <row r="215" spans="2:22" x14ac:dyDescent="0.25"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</row>
    <row r="216" spans="2:22" x14ac:dyDescent="0.25"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</row>
    <row r="217" spans="2:22" x14ac:dyDescent="0.25"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</row>
    <row r="218" spans="2:22" x14ac:dyDescent="0.25"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</row>
    <row r="219" spans="2:22" x14ac:dyDescent="0.25"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</row>
    <row r="220" spans="2:22" x14ac:dyDescent="0.25"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</row>
    <row r="221" spans="2:22" x14ac:dyDescent="0.25"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</row>
    <row r="222" spans="2:22" x14ac:dyDescent="0.25"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</row>
    <row r="223" spans="2:22" x14ac:dyDescent="0.25"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</row>
    <row r="224" spans="2:22" x14ac:dyDescent="0.25"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</row>
    <row r="225" spans="2:22" x14ac:dyDescent="0.25"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</row>
    <row r="226" spans="2:22" x14ac:dyDescent="0.25"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</row>
    <row r="227" spans="2:22" x14ac:dyDescent="0.25"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</row>
    <row r="228" spans="2:22" x14ac:dyDescent="0.25"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</row>
    <row r="229" spans="2:22" x14ac:dyDescent="0.25"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</row>
    <row r="230" spans="2:22" x14ac:dyDescent="0.25"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</row>
    <row r="231" spans="2:22" x14ac:dyDescent="0.25"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</row>
    <row r="232" spans="2:22" x14ac:dyDescent="0.25">
      <c r="B232" s="26"/>
      <c r="C232" s="26"/>
      <c r="D232" s="26"/>
      <c r="E232" s="25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</row>
    <row r="233" spans="2:22" x14ac:dyDescent="0.25"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</row>
    <row r="234" spans="2:22" x14ac:dyDescent="0.25"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</row>
    <row r="235" spans="2:22" x14ac:dyDescent="0.25"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</row>
    <row r="236" spans="2:22" x14ac:dyDescent="0.25"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</row>
    <row r="237" spans="2:22" x14ac:dyDescent="0.25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</row>
    <row r="238" spans="2:22" x14ac:dyDescent="0.25"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</row>
    <row r="239" spans="2:22" x14ac:dyDescent="0.25"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</row>
    <row r="240" spans="2:22" x14ac:dyDescent="0.25"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</row>
    <row r="241" spans="2:22" x14ac:dyDescent="0.25"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</row>
    <row r="242" spans="2:22" x14ac:dyDescent="0.25"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</row>
    <row r="243" spans="2:22" x14ac:dyDescent="0.25"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</row>
    <row r="244" spans="2:22" x14ac:dyDescent="0.25"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</row>
    <row r="245" spans="2:22" x14ac:dyDescent="0.25"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</row>
    <row r="246" spans="2:22" x14ac:dyDescent="0.25"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</row>
    <row r="247" spans="2:22" x14ac:dyDescent="0.25"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</row>
    <row r="248" spans="2:22" x14ac:dyDescent="0.25"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</row>
    <row r="249" spans="2:22" x14ac:dyDescent="0.25"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</row>
    <row r="250" spans="2:22" x14ac:dyDescent="0.25"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</row>
    <row r="251" spans="2:22" x14ac:dyDescent="0.25"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</row>
    <row r="252" spans="2:22" x14ac:dyDescent="0.25"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</row>
    <row r="253" spans="2:22" x14ac:dyDescent="0.25"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</row>
    <row r="254" spans="2:22" x14ac:dyDescent="0.25"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</row>
    <row r="255" spans="2:22" x14ac:dyDescent="0.25"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</row>
    <row r="256" spans="2:22" x14ac:dyDescent="0.25"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</row>
    <row r="257" spans="2:22" x14ac:dyDescent="0.25"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</row>
    <row r="258" spans="2:22" x14ac:dyDescent="0.25">
      <c r="B258" s="26"/>
      <c r="C258" s="26"/>
      <c r="D258" s="26"/>
      <c r="E258" s="25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</row>
    <row r="259" spans="2:22" x14ac:dyDescent="0.25">
      <c r="B259" s="25"/>
      <c r="C259" s="25"/>
      <c r="D259" s="25"/>
      <c r="E259" s="25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</row>
    <row r="260" spans="2:22" x14ac:dyDescent="0.25">
      <c r="B260" s="26"/>
      <c r="C260" s="25"/>
      <c r="D260" s="26"/>
      <c r="E260" s="25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</row>
    <row r="261" spans="2:22" x14ac:dyDescent="0.25">
      <c r="B261" s="25"/>
      <c r="C261" s="25"/>
      <c r="D261" s="25"/>
      <c r="E261" s="25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</row>
    <row r="262" spans="2:22" x14ac:dyDescent="0.25">
      <c r="B262" s="25"/>
      <c r="C262" s="25"/>
      <c r="D262" s="25"/>
      <c r="E262" s="25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</row>
    <row r="263" spans="2:22" x14ac:dyDescent="0.25">
      <c r="B263" s="26"/>
      <c r="C263" s="25"/>
      <c r="D263" s="25"/>
      <c r="E263" s="25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</row>
    <row r="264" spans="2:22" x14ac:dyDescent="0.25">
      <c r="B264" s="25"/>
      <c r="C264" s="25"/>
      <c r="D264" s="25"/>
      <c r="E264" s="25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</row>
    <row r="265" spans="2:22" x14ac:dyDescent="0.25">
      <c r="B265" s="26"/>
      <c r="C265" s="25"/>
      <c r="D265" s="26"/>
      <c r="E265" s="25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</row>
    <row r="266" spans="2:22" x14ac:dyDescent="0.25">
      <c r="B266" s="26"/>
      <c r="C266" s="26"/>
      <c r="D266" s="25"/>
      <c r="E266" s="25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</row>
    <row r="267" spans="2:22" x14ac:dyDescent="0.25">
      <c r="B267" s="26"/>
      <c r="C267" s="25"/>
      <c r="D267" s="25"/>
      <c r="E267" s="25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</row>
    <row r="268" spans="2:22" x14ac:dyDescent="0.25">
      <c r="B268" s="26"/>
      <c r="C268" s="25"/>
      <c r="D268" s="26"/>
      <c r="E268" s="25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</row>
    <row r="269" spans="2:22" x14ac:dyDescent="0.25">
      <c r="B269" s="26"/>
      <c r="C269" s="25"/>
      <c r="D269" s="26"/>
      <c r="E269" s="25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</row>
    <row r="270" spans="2:22" x14ac:dyDescent="0.25">
      <c r="B270" s="26"/>
      <c r="C270" s="26"/>
      <c r="D270" s="26"/>
      <c r="E270" s="25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</row>
    <row r="271" spans="2:22" x14ac:dyDescent="0.25">
      <c r="B271" s="26"/>
      <c r="C271" s="25"/>
      <c r="D271" s="26"/>
      <c r="E271" s="25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</row>
    <row r="272" spans="2:22" x14ac:dyDescent="0.25">
      <c r="B272" s="26"/>
      <c r="C272" s="25"/>
      <c r="D272" s="26"/>
      <c r="E272" s="25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</row>
    <row r="273" spans="2:22" x14ac:dyDescent="0.25">
      <c r="B273" s="26"/>
      <c r="C273" s="25"/>
      <c r="D273" s="26"/>
      <c r="E273" s="25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</row>
    <row r="274" spans="2:22" x14ac:dyDescent="0.25">
      <c r="B274" s="26"/>
      <c r="C274" s="25"/>
      <c r="D274" s="26"/>
      <c r="E274" s="25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</row>
    <row r="275" spans="2:22" x14ac:dyDescent="0.25">
      <c r="B275" s="26"/>
      <c r="C275" s="26"/>
      <c r="D275" s="26"/>
      <c r="E275" s="25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</row>
    <row r="276" spans="2:22" x14ac:dyDescent="0.25">
      <c r="B276" s="26"/>
      <c r="C276" s="25"/>
      <c r="D276" s="26"/>
      <c r="E276" s="25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</row>
    <row r="277" spans="2:22" x14ac:dyDescent="0.25">
      <c r="B277" s="26"/>
      <c r="C277" s="25"/>
      <c r="D277" s="26"/>
      <c r="E277" s="25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</row>
    <row r="278" spans="2:22" x14ac:dyDescent="0.25">
      <c r="B278" s="26"/>
      <c r="C278" s="25"/>
      <c r="D278" s="26"/>
      <c r="E278" s="25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</row>
    <row r="279" spans="2:22" x14ac:dyDescent="0.25">
      <c r="B279" s="26"/>
      <c r="C279" s="26"/>
      <c r="D279" s="26"/>
      <c r="E279" s="25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</row>
    <row r="280" spans="2:22" x14ac:dyDescent="0.25">
      <c r="B280" s="26"/>
      <c r="C280" s="25"/>
      <c r="D280" s="26"/>
      <c r="E280" s="25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</row>
    <row r="281" spans="2:22" x14ac:dyDescent="0.25">
      <c r="B281" s="26"/>
      <c r="C281" s="25"/>
      <c r="D281" s="26"/>
      <c r="E281" s="25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</row>
    <row r="282" spans="2:22" x14ac:dyDescent="0.25">
      <c r="B282" s="26"/>
      <c r="C282" s="26"/>
      <c r="D282" s="26"/>
      <c r="E282" s="25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</row>
    <row r="283" spans="2:22" x14ac:dyDescent="0.25">
      <c r="B283" s="26"/>
      <c r="C283" s="25"/>
      <c r="D283" s="26"/>
      <c r="E283" s="25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</row>
    <row r="284" spans="2:22" x14ac:dyDescent="0.25">
      <c r="B284" s="26"/>
      <c r="C284" s="25"/>
      <c r="D284" s="26"/>
      <c r="E284" s="25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</row>
    <row r="285" spans="2:22" x14ac:dyDescent="0.25">
      <c r="B285" s="26"/>
      <c r="C285" s="26"/>
      <c r="D285" s="26"/>
      <c r="E285" s="25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</row>
    <row r="286" spans="2:22" x14ac:dyDescent="0.25">
      <c r="B286" s="26"/>
      <c r="C286" s="25"/>
      <c r="D286" s="26"/>
      <c r="E286" s="25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</row>
    <row r="287" spans="2:22" x14ac:dyDescent="0.25">
      <c r="B287" s="26"/>
      <c r="C287" s="25"/>
      <c r="D287" s="26"/>
      <c r="E287" s="25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</row>
    <row r="288" spans="2:22" x14ac:dyDescent="0.25">
      <c r="B288" s="26"/>
      <c r="C288" s="26"/>
      <c r="D288" s="26"/>
      <c r="E288" s="25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</row>
    <row r="289" spans="2:22" x14ac:dyDescent="0.25">
      <c r="B289" s="26"/>
      <c r="C289" s="25"/>
      <c r="D289" s="26"/>
      <c r="E289" s="25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</row>
    <row r="290" spans="2:22" x14ac:dyDescent="0.25">
      <c r="B290" s="26"/>
      <c r="C290" s="25"/>
      <c r="D290" s="26"/>
      <c r="E290" s="25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</row>
    <row r="291" spans="2:22" x14ac:dyDescent="0.25">
      <c r="B291" s="26"/>
      <c r="C291" s="26"/>
      <c r="D291" s="26"/>
      <c r="E291" s="25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</row>
    <row r="292" spans="2:22" x14ac:dyDescent="0.25">
      <c r="B292" s="26"/>
      <c r="C292" s="25"/>
      <c r="D292" s="26"/>
      <c r="E292" s="25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</row>
    <row r="293" spans="2:22" x14ac:dyDescent="0.25">
      <c r="B293" s="26"/>
      <c r="C293" s="25"/>
      <c r="D293" s="26"/>
      <c r="E293" s="25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</row>
    <row r="294" spans="2:22" x14ac:dyDescent="0.25">
      <c r="B294" s="26"/>
      <c r="C294" s="26"/>
      <c r="D294" s="26"/>
      <c r="E294" s="25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</row>
    <row r="295" spans="2:22" x14ac:dyDescent="0.25">
      <c r="B295" s="26"/>
      <c r="C295" s="25"/>
      <c r="D295" s="26"/>
      <c r="E295" s="25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</row>
    <row r="296" spans="2:22" x14ac:dyDescent="0.25">
      <c r="B296" s="26"/>
      <c r="C296" s="25"/>
      <c r="D296" s="26"/>
      <c r="E296" s="25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</row>
    <row r="297" spans="2:22" x14ac:dyDescent="0.25">
      <c r="B297" s="26"/>
      <c r="C297" s="26"/>
      <c r="D297" s="26"/>
      <c r="E297" s="25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</row>
    <row r="298" spans="2:22" x14ac:dyDescent="0.25">
      <c r="B298" s="26"/>
      <c r="C298" s="25"/>
      <c r="D298" s="26"/>
      <c r="E298" s="25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</row>
    <row r="299" spans="2:22" x14ac:dyDescent="0.25">
      <c r="B299" s="26"/>
      <c r="C299" s="26"/>
      <c r="D299" s="26"/>
      <c r="E299" s="25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</row>
    <row r="300" spans="2:22" x14ac:dyDescent="0.25">
      <c r="B300" s="26"/>
      <c r="C300" s="25"/>
      <c r="D300" s="26"/>
      <c r="E300" s="25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</row>
    <row r="301" spans="2:22" x14ac:dyDescent="0.25">
      <c r="B301" s="26"/>
      <c r="C301" s="25"/>
      <c r="D301" s="26"/>
      <c r="E301" s="25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</row>
    <row r="302" spans="2:22" x14ac:dyDescent="0.25">
      <c r="B302" s="26"/>
      <c r="C302" s="26"/>
      <c r="D302" s="26"/>
      <c r="E302" s="25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</row>
    <row r="303" spans="2:22" x14ac:dyDescent="0.25">
      <c r="B303" s="26"/>
      <c r="C303" s="25"/>
      <c r="D303" s="26"/>
      <c r="E303" s="25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</row>
    <row r="304" spans="2:22" x14ac:dyDescent="0.25">
      <c r="B304" s="26"/>
      <c r="C304" s="25"/>
      <c r="D304" s="26"/>
      <c r="E304" s="25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</row>
    <row r="305" spans="2:22" x14ac:dyDescent="0.25">
      <c r="B305" s="26"/>
      <c r="C305" s="26"/>
      <c r="D305" s="26"/>
      <c r="E305" s="25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</row>
    <row r="306" spans="2:22" x14ac:dyDescent="0.25">
      <c r="B306" s="26"/>
      <c r="C306" s="25"/>
      <c r="D306" s="26"/>
      <c r="E306" s="25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</row>
    <row r="307" spans="2:22" x14ac:dyDescent="0.25">
      <c r="B307" s="26"/>
      <c r="C307" s="26"/>
      <c r="D307" s="26"/>
      <c r="E307" s="25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</row>
    <row r="308" spans="2:22" x14ac:dyDescent="0.25">
      <c r="B308" s="26"/>
      <c r="C308" s="25"/>
      <c r="D308" s="26"/>
      <c r="E308" s="25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</row>
    <row r="309" spans="2:22" x14ac:dyDescent="0.25">
      <c r="B309" s="26"/>
      <c r="C309" s="25"/>
      <c r="D309" s="26"/>
      <c r="E309" s="25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</row>
    <row r="310" spans="2:22" x14ac:dyDescent="0.25">
      <c r="B310" s="26"/>
      <c r="C310" s="26"/>
      <c r="D310" s="26"/>
      <c r="E310" s="25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</row>
    <row r="311" spans="2:22" x14ac:dyDescent="0.25">
      <c r="B311" s="26"/>
      <c r="C311" s="25"/>
      <c r="D311" s="26"/>
      <c r="E311" s="25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</row>
    <row r="312" spans="2:22" x14ac:dyDescent="0.25">
      <c r="B312" s="26"/>
      <c r="C312" s="25"/>
      <c r="D312" s="26"/>
      <c r="E312" s="25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</row>
    <row r="313" spans="2:22" x14ac:dyDescent="0.25">
      <c r="B313" s="26"/>
      <c r="C313" s="26"/>
      <c r="D313" s="26"/>
      <c r="E313" s="25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</row>
    <row r="314" spans="2:22" x14ac:dyDescent="0.25">
      <c r="B314" s="26"/>
      <c r="C314" s="25"/>
      <c r="D314" s="26"/>
      <c r="E314" s="25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</row>
    <row r="315" spans="2:22" x14ac:dyDescent="0.25">
      <c r="B315" s="26"/>
      <c r="C315" s="25"/>
      <c r="D315" s="26"/>
      <c r="E315" s="25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</row>
    <row r="316" spans="2:22" x14ac:dyDescent="0.25">
      <c r="B316" s="26"/>
      <c r="C316" s="26"/>
      <c r="D316" s="26"/>
      <c r="E316" s="25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</row>
    <row r="317" spans="2:22" x14ac:dyDescent="0.25">
      <c r="B317" s="26"/>
      <c r="C317" s="25"/>
      <c r="D317" s="26"/>
      <c r="E317" s="25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</row>
    <row r="318" spans="2:22" x14ac:dyDescent="0.25">
      <c r="B318" s="26"/>
      <c r="C318" s="26"/>
      <c r="D318" s="26"/>
      <c r="E318" s="25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</row>
    <row r="319" spans="2:22" x14ac:dyDescent="0.25">
      <c r="B319" s="26"/>
      <c r="C319" s="25"/>
      <c r="D319" s="26"/>
      <c r="E319" s="25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</row>
    <row r="320" spans="2:22" x14ac:dyDescent="0.25">
      <c r="B320" s="26"/>
      <c r="C320" s="25"/>
      <c r="D320" s="26"/>
      <c r="E320" s="25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</row>
    <row r="321" spans="2:22" x14ac:dyDescent="0.25">
      <c r="B321" s="26"/>
      <c r="C321" s="26"/>
      <c r="D321" s="26"/>
      <c r="E321" s="25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</row>
    <row r="322" spans="2:22" x14ac:dyDescent="0.25">
      <c r="B322" s="26"/>
      <c r="C322" s="25"/>
      <c r="D322" s="26"/>
      <c r="E322" s="25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</row>
    <row r="323" spans="2:22" x14ac:dyDescent="0.25">
      <c r="B323" s="26"/>
      <c r="C323" s="25"/>
      <c r="D323" s="26"/>
      <c r="E323" s="25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</row>
    <row r="324" spans="2:22" x14ac:dyDescent="0.25">
      <c r="B324" s="26"/>
      <c r="C324" s="26"/>
      <c r="D324" s="26"/>
      <c r="E324" s="25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</row>
    <row r="325" spans="2:22" x14ac:dyDescent="0.25">
      <c r="B325" s="26"/>
      <c r="C325" s="25"/>
      <c r="D325" s="26"/>
      <c r="E325" s="25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</row>
    <row r="326" spans="2:22" x14ac:dyDescent="0.25">
      <c r="B326" s="26"/>
      <c r="C326" s="26"/>
      <c r="D326" s="26"/>
      <c r="E326" s="25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</row>
    <row r="327" spans="2:22" x14ac:dyDescent="0.25">
      <c r="B327" s="26"/>
      <c r="C327" s="25"/>
      <c r="D327" s="26"/>
      <c r="E327" s="25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</row>
    <row r="328" spans="2:22" x14ac:dyDescent="0.25">
      <c r="B328" s="26"/>
      <c r="C328" s="25"/>
      <c r="D328" s="26"/>
      <c r="E328" s="25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</row>
    <row r="329" spans="2:22" x14ac:dyDescent="0.25">
      <c r="B329" s="26"/>
      <c r="C329" s="26"/>
      <c r="D329" s="26"/>
      <c r="E329" s="25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</row>
    <row r="330" spans="2:22" x14ac:dyDescent="0.25">
      <c r="B330" s="26"/>
      <c r="C330" s="25"/>
      <c r="D330" s="26"/>
      <c r="E330" s="25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</row>
    <row r="331" spans="2:22" x14ac:dyDescent="0.25">
      <c r="B331" s="26"/>
      <c r="C331" s="26"/>
      <c r="D331" s="26"/>
      <c r="E331" s="25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</row>
    <row r="332" spans="2:22" x14ac:dyDescent="0.25">
      <c r="B332" s="26"/>
      <c r="C332" s="25"/>
      <c r="D332" s="26"/>
      <c r="E332" s="25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</row>
    <row r="333" spans="2:22" x14ac:dyDescent="0.25">
      <c r="B333" s="26"/>
      <c r="C333" s="25"/>
      <c r="D333" s="26"/>
      <c r="E333" s="25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</row>
    <row r="334" spans="2:22" x14ac:dyDescent="0.25">
      <c r="B334" s="26"/>
      <c r="C334" s="25"/>
      <c r="D334" s="26"/>
      <c r="E334" s="25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</row>
    <row r="335" spans="2:22" x14ac:dyDescent="0.25"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</row>
    <row r="336" spans="2:22" x14ac:dyDescent="0.25">
      <c r="B336" s="26"/>
      <c r="C336" s="25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</row>
    <row r="337" spans="2:22" x14ac:dyDescent="0.25"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</row>
    <row r="338" spans="2:22" x14ac:dyDescent="0.25">
      <c r="B338" s="26"/>
      <c r="C338" s="25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</row>
    <row r="339" spans="2:22" x14ac:dyDescent="0.25">
      <c r="B339" s="26"/>
      <c r="C339" s="25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</row>
    <row r="340" spans="2:22" x14ac:dyDescent="0.25"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</row>
    <row r="341" spans="2:22" x14ac:dyDescent="0.25">
      <c r="B341" s="26"/>
      <c r="C341" s="25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</row>
    <row r="342" spans="2:22" x14ac:dyDescent="0.25"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</row>
    <row r="343" spans="2:22" x14ac:dyDescent="0.25">
      <c r="B343" s="26"/>
      <c r="C343" s="25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</row>
    <row r="344" spans="2:22" x14ac:dyDescent="0.25">
      <c r="B344" s="26"/>
      <c r="C344" s="25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</row>
    <row r="345" spans="2:22" x14ac:dyDescent="0.25">
      <c r="B345" s="26"/>
      <c r="C345" s="25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</row>
    <row r="346" spans="2:22" x14ac:dyDescent="0.25"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</row>
    <row r="347" spans="2:22" x14ac:dyDescent="0.25"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</row>
    <row r="348" spans="2:22" x14ac:dyDescent="0.25">
      <c r="B348" s="26"/>
      <c r="C348" s="25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</row>
    <row r="349" spans="2:22" x14ac:dyDescent="0.25"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</row>
    <row r="350" spans="2:22" x14ac:dyDescent="0.25">
      <c r="B350" s="26"/>
      <c r="C350" s="25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</row>
    <row r="351" spans="2:22" x14ac:dyDescent="0.25">
      <c r="B351" s="26"/>
      <c r="C351" s="25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</row>
    <row r="352" spans="2:22" x14ac:dyDescent="0.25"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</row>
    <row r="353" spans="2:22" x14ac:dyDescent="0.25">
      <c r="B353" s="26"/>
      <c r="C353" s="25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</row>
    <row r="354" spans="2:22" x14ac:dyDescent="0.25"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</row>
    <row r="355" spans="2:22" x14ac:dyDescent="0.25">
      <c r="B355" s="26"/>
      <c r="C355" s="25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</row>
    <row r="356" spans="2:22" x14ac:dyDescent="0.25">
      <c r="B356" s="26"/>
      <c r="C356" s="25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</row>
    <row r="357" spans="2:22" x14ac:dyDescent="0.25"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</row>
    <row r="358" spans="2:22" x14ac:dyDescent="0.25">
      <c r="B358" s="26"/>
      <c r="C358" s="25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</row>
    <row r="359" spans="2:22" x14ac:dyDescent="0.25"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</row>
    <row r="360" spans="2:22" x14ac:dyDescent="0.25">
      <c r="B360" s="26"/>
      <c r="C360" s="25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</row>
    <row r="361" spans="2:22" x14ac:dyDescent="0.25">
      <c r="B361" s="26"/>
      <c r="C361" s="25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</row>
    <row r="362" spans="2:22" x14ac:dyDescent="0.25"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</row>
    <row r="363" spans="2:22" x14ac:dyDescent="0.25">
      <c r="B363" s="26"/>
      <c r="C363" s="25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</row>
    <row r="364" spans="2:22" x14ac:dyDescent="0.25"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</row>
    <row r="365" spans="2:22" x14ac:dyDescent="0.25">
      <c r="B365" s="26"/>
      <c r="C365" s="25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</row>
    <row r="366" spans="2:22" x14ac:dyDescent="0.25">
      <c r="B366" s="26"/>
      <c r="C366" s="25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</row>
    <row r="367" spans="2:22" x14ac:dyDescent="0.25">
      <c r="B367" s="26"/>
      <c r="C367" s="25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</row>
    <row r="368" spans="2:22" x14ac:dyDescent="0.25"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</row>
    <row r="369" spans="2:22" x14ac:dyDescent="0.25">
      <c r="B369" s="26"/>
      <c r="C369" s="25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</row>
    <row r="370" spans="2:22" x14ac:dyDescent="0.25"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</row>
    <row r="371" spans="2:22" x14ac:dyDescent="0.25">
      <c r="B371" s="26"/>
      <c r="C371" s="25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</row>
    <row r="372" spans="2:22" x14ac:dyDescent="0.25"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</row>
    <row r="373" spans="2:22" x14ac:dyDescent="0.25">
      <c r="B373" s="26"/>
      <c r="C373" s="25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</row>
    <row r="374" spans="2:22" x14ac:dyDescent="0.25">
      <c r="B374" s="26"/>
      <c r="C374" s="25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</row>
    <row r="375" spans="2:22" x14ac:dyDescent="0.25"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</row>
    <row r="376" spans="2:22" x14ac:dyDescent="0.25">
      <c r="B376" s="26"/>
      <c r="C376" s="25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</row>
    <row r="377" spans="2:22" x14ac:dyDescent="0.25">
      <c r="B377" s="26"/>
      <c r="C377" s="25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</row>
    <row r="378" spans="2:22" x14ac:dyDescent="0.25"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</row>
    <row r="379" spans="2:22" x14ac:dyDescent="0.25">
      <c r="B379" s="26"/>
      <c r="C379" s="25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</row>
    <row r="380" spans="2:22" x14ac:dyDescent="0.25"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</row>
    <row r="381" spans="2:22" x14ac:dyDescent="0.25">
      <c r="B381" s="26"/>
      <c r="C381" s="25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</row>
    <row r="382" spans="2:22" x14ac:dyDescent="0.25">
      <c r="B382" s="26"/>
      <c r="C382" s="25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</row>
    <row r="383" spans="2:22" x14ac:dyDescent="0.25"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</row>
    <row r="384" spans="2:22" x14ac:dyDescent="0.25">
      <c r="B384" s="26"/>
      <c r="C384" s="25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</row>
    <row r="385" spans="2:22" x14ac:dyDescent="0.25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</row>
    <row r="386" spans="2:22" x14ac:dyDescent="0.25">
      <c r="B386" s="26"/>
      <c r="C386" s="25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</row>
    <row r="387" spans="2:22" x14ac:dyDescent="0.25">
      <c r="B387" s="26"/>
      <c r="C387" s="25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</row>
    <row r="388" spans="2:22" x14ac:dyDescent="0.25"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</row>
    <row r="389" spans="2:22" x14ac:dyDescent="0.25">
      <c r="B389" s="26"/>
      <c r="C389" s="25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</row>
    <row r="390" spans="2:22" x14ac:dyDescent="0.25">
      <c r="B390" s="26"/>
      <c r="C390" s="25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</row>
    <row r="391" spans="2:22" x14ac:dyDescent="0.25"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</row>
    <row r="392" spans="2:22" x14ac:dyDescent="0.25">
      <c r="B392" s="26"/>
      <c r="C392" s="25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</row>
    <row r="393" spans="2:22" x14ac:dyDescent="0.25"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</row>
    <row r="394" spans="2:22" x14ac:dyDescent="0.25">
      <c r="B394" s="26"/>
      <c r="C394" s="25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</row>
    <row r="395" spans="2:22" x14ac:dyDescent="0.25">
      <c r="B395" s="26"/>
      <c r="C395" s="25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</row>
    <row r="396" spans="2:22" x14ac:dyDescent="0.25"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</row>
    <row r="397" spans="2:22" x14ac:dyDescent="0.25">
      <c r="B397" s="26"/>
      <c r="C397" s="25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</row>
    <row r="398" spans="2:22" x14ac:dyDescent="0.25">
      <c r="B398" s="26"/>
      <c r="C398" s="25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</row>
    <row r="399" spans="2:22" x14ac:dyDescent="0.25"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</row>
    <row r="400" spans="2:22" x14ac:dyDescent="0.25">
      <c r="B400" s="26"/>
      <c r="C400" s="25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</row>
    <row r="401" spans="2:22" x14ac:dyDescent="0.25"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</row>
    <row r="402" spans="2:22" x14ac:dyDescent="0.25">
      <c r="B402" s="26"/>
      <c r="C402" s="25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</row>
    <row r="403" spans="2:22" x14ac:dyDescent="0.25">
      <c r="B403" s="26"/>
      <c r="C403" s="25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data">
                <anchor moveWithCells="1" sizeWithCells="1">
                  <from>
                    <xdr:col>0</xdr:col>
                    <xdr:colOff>962025</xdr:colOff>
                    <xdr:row>0</xdr:row>
                    <xdr:rowOff>95250</xdr:rowOff>
                  </from>
                  <to>
                    <xdr:col>1</xdr:col>
                    <xdr:colOff>552450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5A2A0F-753E-44EC-B15C-05C6CA8FA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LoginData</vt:lpstr>
      <vt:lpstr>LoggedTags</vt:lpstr>
      <vt:lpstr>Data1</vt:lpstr>
      <vt:lpstr>Data2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Manfred</dc:creator>
  <cp:lastModifiedBy>Manfred</cp:lastModifiedBy>
  <dcterms:created xsi:type="dcterms:W3CDTF">2019-12-08T19:52:09Z</dcterms:created>
  <dcterms:modified xsi:type="dcterms:W3CDTF">2020-02-08T18:38:30Z</dcterms:modified>
</cp:coreProperties>
</file>